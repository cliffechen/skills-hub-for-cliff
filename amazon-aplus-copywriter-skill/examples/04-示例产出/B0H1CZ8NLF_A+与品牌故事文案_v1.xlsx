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2860" tabRatio="500" activeTab="1"/>
  </bookViews>
  <sheets>
    <sheet name="说明" sheetId="1" r:id="rId1"/>
    <sheet name="文案总表" sheetId="2" r:id="rId2"/>
    <sheet name="设计修改清单" sheetId="3" r:id="rId3"/>
    <sheet name="事实依据" sheetId="4" r:id="rId4"/>
  </sheets>
  <definedNames>
    <definedName name="_xlnm._FilterDatabase" localSheetId="1" hidden="1">文案总表!$A$1:$M$57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<sst xmlns="http://schemas.openxmlformats.org/spreadsheetml/2006/main" count="713" uniqueCount="492">
  <si>
    <r>
      <rPr>
        <b/>
        <sz val="14"/>
        <rFont val="Arial"/>
        <charset val="1"/>
      </rPr>
      <t>B0H1CZ8NLF</t>
    </r>
    <r>
      <rPr>
        <b/>
        <sz val="14"/>
        <rFont val="Noto Sans CJK SC"/>
        <charset val="134"/>
      </rPr>
      <t>｜</t>
    </r>
    <r>
      <rPr>
        <b/>
        <sz val="14"/>
        <rFont val="Arial"/>
        <charset val="1"/>
      </rPr>
      <t xml:space="preserve">A+ </t>
    </r>
    <r>
      <rPr>
        <b/>
        <sz val="14"/>
        <rFont val="Noto Sans CJK SC"/>
        <charset val="134"/>
      </rPr>
      <t xml:space="preserve">与 </t>
    </r>
    <r>
      <rPr>
        <b/>
        <sz val="14"/>
        <rFont val="Arial"/>
        <charset val="1"/>
      </rPr>
      <t xml:space="preserve">Brand Story </t>
    </r>
    <r>
      <rPr>
        <b/>
        <sz val="14"/>
        <rFont val="Noto Sans CJK SC"/>
        <charset val="134"/>
      </rPr>
      <t xml:space="preserve">文案 </t>
    </r>
    <r>
      <rPr>
        <b/>
        <sz val="14"/>
        <rFont val="Arial"/>
        <charset val="1"/>
      </rPr>
      <t>v1</t>
    </r>
  </si>
  <si>
    <r>
      <rPr>
        <sz val="10"/>
        <rFont val="Arial"/>
        <charset val="1"/>
      </rPr>
      <t>ASIN</t>
    </r>
    <r>
      <rPr>
        <sz val="10"/>
        <rFont val="Noto Sans CJK SC"/>
        <charset val="134"/>
      </rPr>
      <t>：</t>
    </r>
    <r>
      <rPr>
        <sz val="10"/>
        <rFont val="Arial"/>
        <charset val="1"/>
      </rPr>
      <t>B0H1CZ8NLF</t>
    </r>
    <r>
      <rPr>
        <sz val="10"/>
        <rFont val="Noto Sans CJK SC"/>
        <charset val="134"/>
      </rPr>
      <t>（</t>
    </r>
    <r>
      <rPr>
        <sz val="10"/>
        <rFont val="Arial"/>
        <charset val="1"/>
      </rPr>
      <t>Amazon US</t>
    </r>
    <r>
      <rPr>
        <sz val="10"/>
        <rFont val="Noto Sans CJK SC"/>
        <charset val="134"/>
      </rPr>
      <t>）｜</t>
    </r>
    <r>
      <rPr>
        <sz val="10"/>
        <rFont val="Arial"/>
        <charset val="1"/>
      </rPr>
      <t>ZAB Urolithin A 700mg</t>
    </r>
    <r>
      <rPr>
        <sz val="10"/>
        <rFont val="Noto Sans CJK SC"/>
        <charset val="134"/>
      </rPr>
      <t>，</t>
    </r>
    <r>
      <rPr>
        <sz val="10"/>
        <rFont val="Arial"/>
        <charset val="1"/>
      </rPr>
      <t>90</t>
    </r>
    <r>
      <rPr>
        <sz val="10"/>
        <rFont val="Noto Sans CJK SC"/>
        <charset val="134"/>
      </rPr>
      <t>粒，</t>
    </r>
    <r>
      <rPr>
        <sz val="10"/>
        <rFont val="Arial"/>
        <charset val="1"/>
      </rPr>
      <t>45</t>
    </r>
    <r>
      <rPr>
        <sz val="10"/>
        <rFont val="Noto Sans CJK SC"/>
        <charset val="134"/>
      </rPr>
      <t>份｜编写日期：</t>
    </r>
    <r>
      <rPr>
        <sz val="10"/>
        <rFont val="Arial"/>
        <charset val="1"/>
      </rPr>
      <t>2026-09-28</t>
    </r>
  </si>
  <si>
    <t>怎么用这份表</t>
  </si>
  <si>
    <r>
      <rPr>
        <sz val="10"/>
        <rFont val="Arial"/>
        <charset val="1"/>
      </rPr>
      <t xml:space="preserve">1. </t>
    </r>
    <r>
      <rPr>
        <sz val="10"/>
        <rFont val="Noto Sans CJK SC"/>
        <charset val="134"/>
      </rPr>
      <t>「文案总表」每行对应构图里的一个文字位。设计直接复制</t>
    </r>
    <r>
      <rPr>
        <sz val="10"/>
        <rFont val="Arial"/>
        <charset val="1"/>
      </rPr>
      <t>E</t>
    </r>
    <r>
      <rPr>
        <sz val="10"/>
        <rFont val="Noto Sans CJK SC"/>
        <charset val="134"/>
      </rPr>
      <t>列（新英文文案），</t>
    </r>
    <r>
      <rPr>
        <sz val="10"/>
        <rFont val="Arial"/>
        <charset val="1"/>
      </rPr>
      <t>F</t>
    </r>
    <r>
      <rPr>
        <sz val="10"/>
        <rFont val="Noto Sans CJK SC"/>
        <charset val="134"/>
      </rPr>
      <t>列是备选句。</t>
    </r>
  </si>
  <si>
    <r>
      <rPr>
        <sz val="10"/>
        <rFont val="Arial"/>
        <charset val="1"/>
      </rPr>
      <t xml:space="preserve">2. </t>
    </r>
    <r>
      <rPr>
        <sz val="10"/>
        <rFont val="Noto Sans CJK SC"/>
        <charset val="134"/>
      </rPr>
      <t xml:space="preserve">文案里的 </t>
    </r>
    <r>
      <rPr>
        <sz val="10"/>
        <rFont val="Arial"/>
        <charset val="1"/>
      </rPr>
      <t xml:space="preserve">**…** </t>
    </r>
    <r>
      <rPr>
        <sz val="10"/>
        <rFont val="Noto Sans CJK SC"/>
        <charset val="134"/>
      </rPr>
      <t>表示加粗，</t>
    </r>
    <r>
      <rPr>
        <sz val="10"/>
        <rFont val="Arial"/>
        <charset val="1"/>
      </rPr>
      <t xml:space="preserve">*…* </t>
    </r>
    <r>
      <rPr>
        <sz val="10"/>
        <rFont val="Noto Sans CJK SC"/>
        <charset val="134"/>
      </rPr>
      <t xml:space="preserve">表示红色斜体，句尾单独的 </t>
    </r>
    <r>
      <rPr>
        <sz val="10"/>
        <rFont val="Arial"/>
        <charset val="1"/>
      </rPr>
      <t xml:space="preserve">* </t>
    </r>
    <r>
      <rPr>
        <sz val="10"/>
        <rFont val="Noto Sans CJK SC"/>
        <charset val="134"/>
      </rPr>
      <t>是功能声明星号（要和</t>
    </r>
    <r>
      <rPr>
        <sz val="10"/>
        <rFont val="Arial"/>
        <charset val="1"/>
      </rPr>
      <t>FDA</t>
    </r>
    <r>
      <rPr>
        <sz val="10"/>
        <rFont val="Noto Sans CJK SC"/>
        <charset val="134"/>
      </rPr>
      <t>免责声明对应）。单元格里怎么换行，排版就怎么换行。</t>
    </r>
  </si>
  <si>
    <r>
      <rPr>
        <sz val="10"/>
        <rFont val="Arial"/>
        <charset val="1"/>
      </rPr>
      <t>3. H</t>
    </r>
    <r>
      <rPr>
        <sz val="10"/>
        <rFont val="Noto Sans CJK SC"/>
        <charset val="134"/>
      </rPr>
      <t>列</t>
    </r>
    <r>
      <rPr>
        <sz val="10"/>
        <rFont val="Arial"/>
        <charset val="1"/>
      </rPr>
      <t>/I</t>
    </r>
    <r>
      <rPr>
        <sz val="10"/>
        <rFont val="Noto Sans CJK SC"/>
        <charset val="134"/>
      </rPr>
      <t xml:space="preserve">列用 </t>
    </r>
    <r>
      <rPr>
        <sz val="10"/>
        <rFont val="Arial"/>
        <charset val="1"/>
      </rPr>
      <t xml:space="preserve">LEN </t>
    </r>
    <r>
      <rPr>
        <sz val="10"/>
        <rFont val="Noto Sans CJK SC"/>
        <charset val="134"/>
      </rPr>
      <t>公式统计新文案和占位原文的字符数，</t>
    </r>
    <r>
      <rPr>
        <sz val="10"/>
        <rFont val="Arial"/>
        <charset val="1"/>
      </rPr>
      <t>J</t>
    </r>
    <r>
      <rPr>
        <sz val="10"/>
        <rFont val="Noto Sans CJK SC"/>
        <charset val="134"/>
      </rPr>
      <t>列是两者差值（正数</t>
    </r>
    <r>
      <rPr>
        <sz val="10"/>
        <rFont val="Arial"/>
        <charset val="1"/>
      </rPr>
      <t>=</t>
    </r>
    <r>
      <rPr>
        <sz val="10"/>
        <rFont val="Noto Sans CJK SC"/>
        <charset val="134"/>
      </rPr>
      <t xml:space="preserve">比原稿长）。差值超过 </t>
    </r>
    <r>
      <rPr>
        <sz val="10"/>
        <rFont val="Arial"/>
        <charset val="1"/>
      </rPr>
      <t xml:space="preserve">+10 </t>
    </r>
    <r>
      <rPr>
        <sz val="10"/>
        <rFont val="Noto Sans CJK SC"/>
        <charset val="134"/>
      </rPr>
      <t>的位置，需要设计检查是否放得下。</t>
    </r>
  </si>
  <si>
    <r>
      <rPr>
        <sz val="10"/>
        <rFont val="Arial"/>
        <charset val="1"/>
      </rPr>
      <t xml:space="preserve">4. </t>
    </r>
    <r>
      <rPr>
        <sz val="10"/>
        <rFont val="Noto Sans CJK SC"/>
        <charset val="134"/>
      </rPr>
      <t>「设计修改清单」列出图片或素材层面要改的地方（不是文案），上线前需要逐项关掉。</t>
    </r>
  </si>
  <si>
    <r>
      <rPr>
        <sz val="10"/>
        <rFont val="Arial"/>
        <charset val="1"/>
      </rPr>
      <t xml:space="preserve">5. </t>
    </r>
    <r>
      <rPr>
        <sz val="10"/>
        <rFont val="Noto Sans CJK SC"/>
        <charset val="134"/>
      </rPr>
      <t>「事实依据」列出每条文案引用的事实编号（</t>
    </r>
    <r>
      <rPr>
        <sz val="10"/>
        <rFont val="Arial"/>
        <charset val="1"/>
      </rPr>
      <t>F01…</t>
    </r>
    <r>
      <rPr>
        <sz val="10"/>
        <rFont val="Noto Sans CJK SC"/>
        <charset val="134"/>
      </rPr>
      <t>）及出处。</t>
    </r>
  </si>
  <si>
    <r>
      <rPr>
        <b/>
        <sz val="11"/>
        <rFont val="Noto Sans CJK SC"/>
        <charset val="134"/>
      </rPr>
      <t>本次已确认的决定（</t>
    </r>
    <r>
      <rPr>
        <b/>
        <sz val="11"/>
        <rFont val="Arial"/>
        <charset val="1"/>
      </rPr>
      <t>2026-09-28</t>
    </r>
    <r>
      <rPr>
        <b/>
        <sz val="11"/>
        <rFont val="Noto Sans CJK SC"/>
        <charset val="134"/>
      </rPr>
      <t>）</t>
    </r>
  </si>
  <si>
    <r>
      <rPr>
        <sz val="10"/>
        <rFont val="Noto Sans CJK SC"/>
        <charset val="134"/>
      </rPr>
      <t xml:space="preserve">品牌名只用 </t>
    </r>
    <r>
      <rPr>
        <sz val="10"/>
        <rFont val="Arial"/>
        <charset val="1"/>
      </rPr>
      <t>ZAB</t>
    </r>
    <r>
      <rPr>
        <sz val="10"/>
        <rFont val="Noto Sans CJK SC"/>
        <charset val="134"/>
      </rPr>
      <t>；图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走“肠道转化因人而异”的科普角度；图</t>
    </r>
    <r>
      <rPr>
        <sz val="10"/>
        <rFont val="Arial"/>
        <charset val="1"/>
      </rPr>
      <t>4</t>
    </r>
    <r>
      <rPr>
        <sz val="10"/>
        <rFont val="Noto Sans CJK SC"/>
        <charset val="134"/>
      </rPr>
      <t>的</t>
    </r>
    <r>
      <rPr>
        <sz val="10"/>
        <rFont val="Arial"/>
        <charset val="1"/>
      </rPr>
      <t>4</t>
    </r>
    <r>
      <rPr>
        <sz val="10"/>
        <rFont val="Noto Sans CJK SC"/>
        <charset val="134"/>
      </rPr>
      <t>个额外徽章保留；交付格式为</t>
    </r>
    <r>
      <rPr>
        <sz val="10"/>
        <rFont val="Arial"/>
        <charset val="1"/>
      </rPr>
      <t>Excel</t>
    </r>
    <r>
      <rPr>
        <sz val="10"/>
        <rFont val="Noto Sans CJK SC"/>
        <charset val="134"/>
      </rPr>
      <t>。</t>
    </r>
  </si>
  <si>
    <r>
      <rPr>
        <b/>
        <sz val="11"/>
        <rFont val="Noto Sans CJK SC"/>
        <charset val="134"/>
      </rPr>
      <t>写作规则（参照</t>
    </r>
    <r>
      <rPr>
        <b/>
        <sz val="11"/>
        <rFont val="Arial"/>
        <charset val="1"/>
      </rPr>
      <t>OLENPHOGY</t>
    </r>
    <r>
      <rPr>
        <b/>
        <sz val="11"/>
        <rFont val="Noto Sans CJK SC"/>
        <charset val="134"/>
      </rPr>
      <t>方法库）</t>
    </r>
  </si>
  <si>
    <r>
      <rPr>
        <sz val="10"/>
        <rFont val="Noto Sans CJK SC"/>
        <charset val="134"/>
      </rPr>
      <t>每个数字都写清对象、单位和每份基准（</t>
    </r>
    <r>
      <rPr>
        <sz val="10"/>
        <rFont val="Arial"/>
        <charset val="1"/>
      </rPr>
      <t xml:space="preserve">700mg = </t>
    </r>
    <r>
      <rPr>
        <sz val="10"/>
        <rFont val="Noto Sans CJK SC"/>
        <charset val="134"/>
      </rPr>
      <t>每份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粒）；</t>
    </r>
    <r>
      <rPr>
        <sz val="10"/>
        <rFont val="Arial"/>
        <charset val="1"/>
      </rPr>
      <t>A+</t>
    </r>
    <r>
      <rPr>
        <sz val="10"/>
        <rFont val="Noto Sans CJK SC"/>
        <charset val="134"/>
      </rPr>
      <t>按“问题→机制→核对→信任”的顺序读，每张图承接上一张；对比不用泛指的</t>
    </r>
    <r>
      <rPr>
        <sz val="10"/>
        <rFont val="Arial"/>
        <charset val="1"/>
      </rPr>
      <t>OTHERS</t>
    </r>
    <r>
      <rPr>
        <sz val="10"/>
        <rFont val="Noto Sans CJK SC"/>
        <charset val="134"/>
      </rPr>
      <t>；食物图只作视觉示意；不写抗衰老、逆转、保证见效、吸收率百分比；功能宣称加</t>
    </r>
    <r>
      <rPr>
        <sz val="10"/>
        <rFont val="Arial"/>
        <charset val="1"/>
      </rPr>
      <t>*</t>
    </r>
    <r>
      <rPr>
        <sz val="10"/>
        <rFont val="Noto Sans CJK SC"/>
        <charset val="134"/>
      </rPr>
      <t>，并放</t>
    </r>
    <r>
      <rPr>
        <sz val="10"/>
        <rFont val="Arial"/>
        <charset val="1"/>
      </rPr>
      <t>FDA</t>
    </r>
    <r>
      <rPr>
        <sz val="10"/>
        <rFont val="Noto Sans CJK SC"/>
        <charset val="134"/>
      </rPr>
      <t>免责声明。</t>
    </r>
  </si>
  <si>
    <t>尺寸提示</t>
  </si>
  <si>
    <r>
      <rPr>
        <sz val="10"/>
        <rFont val="Noto Sans CJK SC"/>
        <charset val="134"/>
      </rPr>
      <t>当前</t>
    </r>
    <r>
      <rPr>
        <sz val="10"/>
        <rFont val="Arial"/>
        <charset val="1"/>
      </rPr>
      <t>Canva</t>
    </r>
    <r>
      <rPr>
        <sz val="10"/>
        <rFont val="Noto Sans CJK SC"/>
        <charset val="134"/>
      </rPr>
      <t>构图是</t>
    </r>
    <r>
      <rPr>
        <sz val="10"/>
        <rFont val="Arial"/>
        <charset val="1"/>
      </rPr>
      <t>4:3</t>
    </r>
    <r>
      <rPr>
        <sz val="10"/>
        <rFont val="Noto Sans CJK SC"/>
        <charset val="134"/>
      </rPr>
      <t>（</t>
    </r>
    <r>
      <rPr>
        <sz val="10"/>
        <rFont val="Arial"/>
        <charset val="1"/>
      </rPr>
      <t>1800×1350</t>
    </r>
    <r>
      <rPr>
        <sz val="10"/>
        <rFont val="Noto Sans CJK SC"/>
        <charset val="134"/>
      </rPr>
      <t>），与</t>
    </r>
    <r>
      <rPr>
        <sz val="10"/>
        <rFont val="Arial"/>
        <charset val="1"/>
      </rPr>
      <t>Premium A+</t>
    </r>
    <r>
      <rPr>
        <sz val="10"/>
        <rFont val="Noto Sans CJK SC"/>
        <charset val="134"/>
      </rPr>
      <t>移动端的</t>
    </r>
    <r>
      <rPr>
        <sz val="10"/>
        <rFont val="Arial"/>
        <charset val="1"/>
      </rPr>
      <t>600×450</t>
    </r>
    <r>
      <rPr>
        <sz val="10"/>
        <rFont val="Noto Sans CJK SC"/>
        <charset val="134"/>
      </rPr>
      <t>比例一致。如果还要做</t>
    </r>
    <r>
      <rPr>
        <sz val="10"/>
        <rFont val="Arial"/>
        <charset val="1"/>
      </rPr>
      <t>1464×600</t>
    </r>
    <r>
      <rPr>
        <sz val="10"/>
        <rFont val="Noto Sans CJK SC"/>
        <charset val="134"/>
      </rPr>
      <t>的桌面版，需要重新排版，字数可以沿用本表。</t>
    </r>
  </si>
  <si>
    <t>编号</t>
  </si>
  <si>
    <t>图片</t>
  </si>
  <si>
    <t>构图文件</t>
  </si>
  <si>
    <t>文字位置</t>
  </si>
  <si>
    <t>新英文文案</t>
  </si>
  <si>
    <t>备选英文</t>
  </si>
  <si>
    <t>中文释义</t>
  </si>
  <si>
    <t>新文案字符数</t>
  </si>
  <si>
    <t>占位原文字符数</t>
  </si>
  <si>
    <t>差值</t>
  </si>
  <si>
    <t>占位原文（设计稿）</t>
  </si>
  <si>
    <t>事实依据</t>
  </si>
  <si>
    <r>
      <rPr>
        <b/>
        <sz val="10"/>
        <color rgb="FFFFFFFF"/>
        <rFont val="Noto Sans CJK SC"/>
        <charset val="134"/>
      </rPr>
      <t xml:space="preserve">合规 </t>
    </r>
    <r>
      <rPr>
        <b/>
        <sz val="10"/>
        <color rgb="FFFFFFFF"/>
        <rFont val="Arial"/>
        <charset val="1"/>
      </rPr>
      <t xml:space="preserve">/ </t>
    </r>
    <r>
      <rPr>
        <b/>
        <sz val="10"/>
        <color rgb="FFFFFFFF"/>
        <rFont val="Noto Sans CJK SC"/>
        <charset val="134"/>
      </rPr>
      <t>设计备注</t>
    </r>
  </si>
  <si>
    <t>A1-01</t>
  </si>
  <si>
    <r>
      <rPr>
        <sz val="10"/>
        <rFont val="Arial"/>
        <charset val="1"/>
      </rPr>
      <t>A+</t>
    </r>
    <r>
      <rPr>
        <sz val="10"/>
        <rFont val="Noto Sans CJK SC"/>
        <charset val="134"/>
      </rPr>
      <t>图</t>
    </r>
    <r>
      <rPr>
        <sz val="10"/>
        <rFont val="Arial"/>
        <charset val="1"/>
      </rPr>
      <t>1</t>
    </r>
  </si>
  <si>
    <r>
      <rPr>
        <sz val="10"/>
        <rFont val="Arial"/>
        <charset val="1"/>
      </rPr>
      <t>A+</t>
    </r>
    <r>
      <rPr>
        <sz val="10"/>
        <rFont val="Noto Sans CJK SC"/>
        <charset val="134"/>
      </rPr>
      <t>纯图</t>
    </r>
    <r>
      <rPr>
        <sz val="10"/>
        <rFont val="Arial"/>
        <charset val="1"/>
      </rPr>
      <t>1.png</t>
    </r>
  </si>
  <si>
    <r>
      <rPr>
        <sz val="10"/>
        <rFont val="Noto Sans CJK SC"/>
        <charset val="134"/>
      </rPr>
      <t>左侧引语（带引号，</t>
    </r>
    <r>
      <rPr>
        <sz val="10"/>
        <rFont val="Arial"/>
        <charset val="1"/>
      </rPr>
      <t>4</t>
    </r>
    <r>
      <rPr>
        <sz val="10"/>
        <rFont val="Noto Sans CJK SC"/>
        <charset val="134"/>
      </rPr>
      <t>行）</t>
    </r>
  </si>
  <si>
    <t>Counting on Pomegranates for Urolithin A?</t>
  </si>
  <si>
    <t>Eating Pomegranates for Urolithin A?</t>
  </si>
  <si>
    <r>
      <rPr>
        <sz val="10"/>
        <rFont val="Noto Sans CJK SC"/>
        <charset val="134"/>
      </rPr>
      <t>你是不是指望靠吃石榴来获得尿石素</t>
    </r>
    <r>
      <rPr>
        <sz val="10"/>
        <rFont val="Arial"/>
        <charset val="1"/>
      </rPr>
      <t>A</t>
    </r>
    <r>
      <rPr>
        <sz val="10"/>
        <rFont val="Noto Sans CJK SC"/>
        <charset val="134"/>
      </rPr>
      <t>？</t>
    </r>
  </si>
  <si>
    <t>Are You Taking Magnesium but Feeling No Difference?</t>
  </si>
  <si>
    <t>F12</t>
  </si>
  <si>
    <t>开头用顾客的口吻提问，把话题引到“从食物转化因人而异”。不否定石榴本身，也不暗示吃石榴无效。</t>
  </si>
  <si>
    <t>A1-02</t>
  </si>
  <si>
    <r>
      <rPr>
        <sz val="10"/>
        <rFont val="Noto Sans CJK SC"/>
        <charset val="134"/>
      </rPr>
      <t>主标题（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行）</t>
    </r>
  </si>
  <si>
    <t>Skip the
Conversion Step.</t>
  </si>
  <si>
    <t>Get It
Ready-Made.</t>
  </si>
  <si>
    <t>跳过体内转化这一步。</t>
  </si>
  <si>
    <t>Magnesium
Form Matters</t>
  </si>
  <si>
    <t>F12, F01</t>
  </si>
  <si>
    <t>字号和字重沿用原版。换行位置照写。</t>
  </si>
  <si>
    <t>A1-03</t>
  </si>
  <si>
    <t>副标题（单行小字）</t>
  </si>
  <si>
    <t>700mg Urolithin A per serving. No conversion needed.</t>
  </si>
  <si>
    <t>Pre-formed Urolithin A. 700mg per 2 capsules.</t>
  </si>
  <si>
    <r>
      <rPr>
        <sz val="10"/>
        <rFont val="Noto Sans CJK SC"/>
        <charset val="134"/>
      </rPr>
      <t>每份</t>
    </r>
    <r>
      <rPr>
        <sz val="10"/>
        <rFont val="Arial"/>
        <charset val="1"/>
      </rPr>
      <t>700mg</t>
    </r>
    <r>
      <rPr>
        <sz val="10"/>
        <rFont val="Noto Sans CJK SC"/>
        <charset val="134"/>
      </rPr>
      <t>尿石素</t>
    </r>
    <r>
      <rPr>
        <sz val="10"/>
        <rFont val="Arial"/>
        <charset val="1"/>
      </rPr>
      <t>A</t>
    </r>
    <r>
      <rPr>
        <sz val="10"/>
        <rFont val="Noto Sans CJK SC"/>
        <charset val="134"/>
      </rPr>
      <t>，无需身体再转化。</t>
    </r>
  </si>
  <si>
    <t>No Magnesium Oxide. Non-Buffered Formula.</t>
  </si>
  <si>
    <t>F01</t>
  </si>
  <si>
    <r>
      <rPr>
        <sz val="10"/>
        <rFont val="Noto Sans CJK SC"/>
        <charset val="134"/>
      </rPr>
      <t>意思只是“产品直接含尿石素</t>
    </r>
    <r>
      <rPr>
        <sz val="10"/>
        <rFont val="Arial"/>
        <charset val="1"/>
      </rPr>
      <t>A”</t>
    </r>
    <r>
      <rPr>
        <sz val="10"/>
        <rFont val="Noto Sans CJK SC"/>
        <charset val="134"/>
      </rPr>
      <t>，不写吸收率、生物利用度或功效上的比较。</t>
    </r>
  </si>
  <si>
    <t>A1-04</t>
  </si>
  <si>
    <r>
      <rPr>
        <sz val="10"/>
        <rFont val="Noto Sans CJK SC"/>
        <charset val="134"/>
      </rPr>
      <t>格子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（大，左上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原无花果）</t>
    </r>
  </si>
  <si>
    <t>Ellagitannin-Rich Foods</t>
  </si>
  <si>
    <t>Found in Pomegranates</t>
  </si>
  <si>
    <t>富含鞣花单宁的食物</t>
  </si>
  <si>
    <t>Chelated Bisglycinate</t>
  </si>
  <si>
    <r>
      <rPr>
        <sz val="10"/>
        <rFont val="Noto Sans CJK SC"/>
        <charset val="134"/>
      </rPr>
      <t>格子文字超过</t>
    </r>
    <r>
      <rPr>
        <sz val="10"/>
        <rFont val="Arial"/>
        <charset val="1"/>
      </rPr>
      <t>21</t>
    </r>
    <r>
      <rPr>
        <sz val="10"/>
        <rFont val="Noto Sans CJK SC"/>
        <charset val="134"/>
      </rPr>
      <t>个字符可以折成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行。上面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格讲“食物这条路”。建议配石榴或核桃图。这里的食物图对应的是真实的鞣花单宁食物，不代表产品原料。</t>
    </r>
  </si>
  <si>
    <t>A1-05</t>
  </si>
  <si>
    <r>
      <rPr>
        <sz val="10"/>
        <rFont val="Noto Sans CJK SC"/>
        <charset val="134"/>
      </rPr>
      <t>格子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（大，中上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原蓝莓）</t>
    </r>
  </si>
  <si>
    <t>Made by Gut Microbes</t>
  </si>
  <si>
    <t>Made in Your Gut</t>
  </si>
  <si>
    <t>由肠道菌群转化</t>
  </si>
  <si>
    <t>Citrate</t>
  </si>
  <si>
    <t>建议配抽象的肠道或菌群示意图，或者浆果。</t>
  </si>
  <si>
    <t>A1-06</t>
  </si>
  <si>
    <r>
      <rPr>
        <sz val="10"/>
        <rFont val="Noto Sans CJK SC"/>
        <charset val="134"/>
      </rPr>
      <t>格子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（右上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原猕猴桃）</t>
    </r>
  </si>
  <si>
    <t>Output Varies by Person</t>
  </si>
  <si>
    <t>Not Everyone Makes It Equally</t>
  </si>
  <si>
    <t>每个人的转化量不同</t>
  </si>
  <si>
    <t>Orotate</t>
  </si>
  <si>
    <t>这一格是整张图的关键限定语，只写“因人而异”，不写具体百分比。要写比例，必须附上研究出处。</t>
  </si>
  <si>
    <t>A1-07</t>
  </si>
  <si>
    <r>
      <rPr>
        <sz val="10"/>
        <rFont val="Noto Sans CJK SC"/>
        <charset val="134"/>
      </rPr>
      <t>格子</t>
    </r>
    <r>
      <rPr>
        <sz val="10"/>
        <rFont val="Arial"/>
        <charset val="1"/>
      </rPr>
      <t>4</t>
    </r>
    <r>
      <rPr>
        <sz val="10"/>
        <rFont val="Noto Sans CJK SC"/>
        <charset val="134"/>
      </rPr>
      <t>（大，左下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原杏仁）</t>
    </r>
  </si>
  <si>
    <t>700mg Per Serving</t>
  </si>
  <si>
    <t>700mg Urolithin A</t>
  </si>
  <si>
    <r>
      <rPr>
        <sz val="10"/>
        <rFont val="Noto Sans CJK SC"/>
        <charset val="134"/>
      </rPr>
      <t>每份</t>
    </r>
    <r>
      <rPr>
        <sz val="10"/>
        <rFont val="Arial"/>
        <charset val="1"/>
      </rPr>
      <t>700mg</t>
    </r>
  </si>
  <si>
    <t>Malate</t>
  </si>
  <si>
    <r>
      <rPr>
        <sz val="10"/>
        <rFont val="Noto Sans CJK SC"/>
        <charset val="134"/>
      </rPr>
      <t>下面</t>
    </r>
    <r>
      <rPr>
        <sz val="10"/>
        <rFont val="Arial"/>
        <charset val="1"/>
      </rPr>
      <t>5</t>
    </r>
    <r>
      <rPr>
        <sz val="10"/>
        <rFont val="Noto Sans CJK SC"/>
        <charset val="134"/>
      </rPr>
      <t>格讲“</t>
    </r>
    <r>
      <rPr>
        <sz val="10"/>
        <rFont val="Arial"/>
        <charset val="1"/>
      </rPr>
      <t>ZAB</t>
    </r>
    <r>
      <rPr>
        <sz val="10"/>
        <rFont val="Noto Sans CJK SC"/>
        <charset val="134"/>
      </rPr>
      <t>这条路”。建议配产品瓶或胶囊图。设计可以在两排之间加一条细分隔线。</t>
    </r>
  </si>
  <si>
    <t>A1-08</t>
  </si>
  <si>
    <r>
      <rPr>
        <sz val="10"/>
        <rFont val="Noto Sans CJK SC"/>
        <charset val="134"/>
      </rPr>
      <t>格子</t>
    </r>
    <r>
      <rPr>
        <sz val="10"/>
        <rFont val="Arial"/>
        <charset val="1"/>
      </rPr>
      <t>5</t>
    </r>
    <r>
      <rPr>
        <sz val="10"/>
        <rFont val="Noto Sans CJK SC"/>
        <charset val="134"/>
      </rPr>
      <t>（大，中下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原樱桃）</t>
    </r>
  </si>
  <si>
    <t>Pomegranate Peel Extract</t>
  </si>
  <si>
    <t>From Pomegranate Peel</t>
  </si>
  <si>
    <t>来源：石榴皮提取物</t>
  </si>
  <si>
    <t>Taurate</t>
  </si>
  <si>
    <t>F10</t>
  </si>
  <si>
    <r>
      <rPr>
        <sz val="10"/>
        <rFont val="Noto Sans CJK SC"/>
        <charset val="134"/>
      </rPr>
      <t>来源依据是构图</t>
    </r>
    <r>
      <rPr>
        <sz val="10"/>
        <rFont val="Arial"/>
        <charset val="1"/>
      </rPr>
      <t>4</t>
    </r>
    <r>
      <rPr>
        <sz val="10"/>
        <rFont val="Noto Sans CJK SC"/>
        <charset val="134"/>
      </rPr>
      <t>的</t>
    </r>
    <r>
      <rPr>
        <sz val="10"/>
        <rFont val="Arial"/>
        <charset val="1"/>
      </rPr>
      <t>Supplement Facts</t>
    </r>
    <r>
      <rPr>
        <sz val="10"/>
        <rFont val="Noto Sans CJK SC"/>
        <charset val="134"/>
      </rPr>
      <t>，务必与实物标签一致。</t>
    </r>
  </si>
  <si>
    <t>A1-09</t>
  </si>
  <si>
    <r>
      <rPr>
        <sz val="10"/>
        <rFont val="Noto Sans CJK SC"/>
        <charset val="134"/>
      </rPr>
      <t>格子</t>
    </r>
    <r>
      <rPr>
        <sz val="10"/>
        <rFont val="Arial"/>
        <charset val="1"/>
      </rPr>
      <t>6</t>
    </r>
    <r>
      <rPr>
        <sz val="10"/>
        <rFont val="Noto Sans CJK SC"/>
        <charset val="134"/>
      </rPr>
      <t>（右中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原牛油果）</t>
    </r>
  </si>
  <si>
    <t>Made with MCT Oil</t>
  </si>
  <si>
    <t>MCT Oil Base</t>
  </si>
  <si>
    <r>
      <rPr>
        <sz val="10"/>
        <rFont val="Noto Sans CJK SC"/>
        <charset val="134"/>
      </rPr>
      <t>含</t>
    </r>
    <r>
      <rPr>
        <sz val="10"/>
        <rFont val="Arial"/>
        <charset val="1"/>
      </rPr>
      <t>MCT</t>
    </r>
    <r>
      <rPr>
        <sz val="10"/>
        <rFont val="Noto Sans CJK SC"/>
        <charset val="134"/>
      </rPr>
      <t>油</t>
    </r>
  </si>
  <si>
    <t>Vitamin B6 (as P5P)</t>
  </si>
  <si>
    <t>F03</t>
  </si>
  <si>
    <r>
      <rPr>
        <sz val="10"/>
        <rFont val="Noto Sans CJK SC"/>
        <charset val="134"/>
      </rPr>
      <t>只写配方里有</t>
    </r>
    <r>
      <rPr>
        <sz val="10"/>
        <rFont val="Arial"/>
        <charset val="1"/>
      </rPr>
      <t>MCT</t>
    </r>
    <r>
      <rPr>
        <sz val="10"/>
        <rFont val="Noto Sans CJK SC"/>
        <charset val="134"/>
      </rPr>
      <t>油，不写它“提升吸收”。</t>
    </r>
    <r>
      <rPr>
        <sz val="10"/>
        <rFont val="Arial"/>
        <charset val="1"/>
      </rPr>
      <t>listing</t>
    </r>
    <r>
      <rPr>
        <sz val="10"/>
        <rFont val="Noto Sans CJK SC"/>
        <charset val="134"/>
      </rPr>
      <t>没有这类依据。</t>
    </r>
  </si>
  <si>
    <t>A1-10</t>
  </si>
  <si>
    <r>
      <rPr>
        <sz val="10"/>
        <rFont val="Noto Sans CJK SC"/>
        <charset val="134"/>
      </rPr>
      <t>格子</t>
    </r>
    <r>
      <rPr>
        <sz val="10"/>
        <rFont val="Arial"/>
        <charset val="1"/>
      </rPr>
      <t>7</t>
    </r>
    <r>
      <rPr>
        <sz val="10"/>
        <rFont val="Noto Sans CJK SC"/>
        <charset val="134"/>
      </rPr>
      <t>（小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原黑胡椒）</t>
    </r>
  </si>
  <si>
    <t>Sunflower Lecithin</t>
  </si>
  <si>
    <t>With Lecithin</t>
  </si>
  <si>
    <t>葵花卵磷脂</t>
  </si>
  <si>
    <t>Black Pepper</t>
  </si>
  <si>
    <r>
      <rPr>
        <sz val="10"/>
        <rFont val="Noto Sans CJK SC"/>
        <charset val="134"/>
      </rPr>
      <t>小格子，字数尽量控制在</t>
    </r>
    <r>
      <rPr>
        <sz val="10"/>
        <rFont val="Arial"/>
        <charset val="1"/>
      </rPr>
      <t>18</t>
    </r>
    <r>
      <rPr>
        <sz val="10"/>
        <rFont val="Noto Sans CJK SC"/>
        <charset val="134"/>
      </rPr>
      <t>个字符以内。</t>
    </r>
  </si>
  <si>
    <t>A1-11</t>
  </si>
  <si>
    <r>
      <rPr>
        <sz val="10"/>
        <rFont val="Noto Sans CJK SC"/>
        <charset val="134"/>
      </rPr>
      <t>格子</t>
    </r>
    <r>
      <rPr>
        <sz val="10"/>
        <rFont val="Arial"/>
        <charset val="1"/>
      </rPr>
      <t>8</t>
    </r>
    <r>
      <rPr>
        <sz val="10"/>
        <rFont val="Noto Sans CJK SC"/>
        <charset val="134"/>
      </rPr>
      <t>（小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原蘑菇）</t>
    </r>
  </si>
  <si>
    <t>2 Capsules Daily</t>
  </si>
  <si>
    <t>Just 2 a Day</t>
  </si>
  <si>
    <r>
      <rPr>
        <sz val="10"/>
        <rFont val="Noto Sans CJK SC"/>
        <charset val="134"/>
      </rPr>
      <t>每日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粒</t>
    </r>
  </si>
  <si>
    <t>Zinc Picolinate</t>
  </si>
  <si>
    <t>F06</t>
  </si>
  <si>
    <r>
      <rPr>
        <sz val="10"/>
        <rFont val="Arial"/>
        <charset val="1"/>
      </rPr>
      <t>listing</t>
    </r>
    <r>
      <rPr>
        <sz val="10"/>
        <rFont val="Noto Sans CJK SC"/>
        <charset val="134"/>
      </rPr>
      <t>写的是每日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粒、用水送服，没有规定服用时段，所以不写“</t>
    </r>
    <r>
      <rPr>
        <sz val="10"/>
        <rFont val="Arial"/>
        <charset val="1"/>
      </rPr>
      <t>once”</t>
    </r>
    <r>
      <rPr>
        <sz val="10"/>
        <rFont val="Noto Sans CJK SC"/>
        <charset val="134"/>
      </rPr>
      <t>。</t>
    </r>
  </si>
  <si>
    <t>A1-12</t>
  </si>
  <si>
    <t>【可选新增】两排格子的小标签</t>
  </si>
  <si>
    <t>THE FOOD ROUTE  /  THE ZAB ROUTE</t>
  </si>
  <si>
    <t>FROM FOOD  /  FROM ZAB</t>
  </si>
  <si>
    <r>
      <rPr>
        <sz val="10"/>
        <rFont val="Noto Sans CJK SC"/>
        <charset val="134"/>
      </rPr>
      <t xml:space="preserve">食物路径 </t>
    </r>
    <r>
      <rPr>
        <sz val="10"/>
        <rFont val="Arial"/>
        <charset val="1"/>
      </rPr>
      <t>/ ZAB</t>
    </r>
    <r>
      <rPr>
        <sz val="10"/>
        <rFont val="Noto Sans CJK SC"/>
        <charset val="134"/>
      </rPr>
      <t>路径</t>
    </r>
  </si>
  <si>
    <t>（无）</t>
  </si>
  <si>
    <t>可选。加上后上下两排的对比一眼就能看懂。放不下可以不加。</t>
  </si>
  <si>
    <t>A2-01</t>
  </si>
  <si>
    <r>
      <rPr>
        <sz val="10"/>
        <rFont val="Arial"/>
        <charset val="1"/>
      </rPr>
      <t>A+</t>
    </r>
    <r>
      <rPr>
        <sz val="10"/>
        <rFont val="Noto Sans CJK SC"/>
        <charset val="134"/>
      </rPr>
      <t>图</t>
    </r>
    <r>
      <rPr>
        <sz val="10"/>
        <rFont val="Arial"/>
        <charset val="1"/>
      </rPr>
      <t>2</t>
    </r>
  </si>
  <si>
    <r>
      <rPr>
        <sz val="10"/>
        <rFont val="Arial"/>
        <charset val="1"/>
      </rPr>
      <t>A+-</t>
    </r>
    <r>
      <rPr>
        <sz val="10"/>
        <rFont val="Noto Sans CJK SC"/>
        <charset val="134"/>
      </rPr>
      <t>连图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纯图</t>
    </r>
    <r>
      <rPr>
        <sz val="10"/>
        <rFont val="Arial"/>
        <charset val="1"/>
      </rPr>
      <t>2.png</t>
    </r>
  </si>
  <si>
    <t>顶部大标题</t>
  </si>
  <si>
    <t>Know Exactly What You're Taking.</t>
  </si>
  <si>
    <t>Read the Label First.</t>
  </si>
  <si>
    <t>清楚知道你吃进去的是什么。</t>
  </si>
  <si>
    <t>Staff Struggle To Process.</t>
  </si>
  <si>
    <t>F01, F10</t>
  </si>
  <si>
    <r>
      <rPr>
        <sz val="10"/>
        <rFont val="Noto Sans CJK SC"/>
        <charset val="134"/>
      </rPr>
      <t>承接图</t>
    </r>
    <r>
      <rPr>
        <sz val="10"/>
        <rFont val="Arial"/>
        <charset val="1"/>
      </rPr>
      <t>1“</t>
    </r>
    <r>
      <rPr>
        <sz val="10"/>
        <rFont val="Noto Sans CJK SC"/>
        <charset val="134"/>
      </rPr>
      <t>直接补充”的思路，转到“看标签选产品”。和店铺名</t>
    </r>
    <r>
      <rPr>
        <sz val="10"/>
        <rFont val="Arial"/>
        <charset val="1"/>
      </rPr>
      <t>Transparent by Design</t>
    </r>
    <r>
      <rPr>
        <sz val="10"/>
        <rFont val="Noto Sans CJK SC"/>
        <charset val="134"/>
      </rPr>
      <t>呼应。</t>
    </r>
  </si>
  <si>
    <t>A2-02</t>
  </si>
  <si>
    <t>左栏表头（灰）</t>
  </si>
  <si>
    <t>VAGUE LABELS</t>
  </si>
  <si>
    <t>UNCLEAR LABELS</t>
  </si>
  <si>
    <t>标签含糊的产品</t>
  </si>
  <si>
    <t>OTHERS</t>
  </si>
  <si>
    <t>—</t>
  </si>
  <si>
    <r>
      <rPr>
        <sz val="10"/>
        <rFont val="Noto Sans CJK SC"/>
        <charset val="134"/>
      </rPr>
      <t>按方法库规则，不用泛指的“</t>
    </r>
    <r>
      <rPr>
        <sz val="10"/>
        <rFont val="Arial"/>
        <charset val="1"/>
      </rPr>
      <t>OTHERS”</t>
    </r>
    <r>
      <rPr>
        <sz val="10"/>
        <rFont val="Noto Sans CJK SC"/>
        <charset val="134"/>
      </rPr>
      <t>。这里按“标签含糊”这个属性来定义，不点名，也不暗示整个品类都这样。</t>
    </r>
  </si>
  <si>
    <t>A2-03</t>
  </si>
  <si>
    <r>
      <rPr>
        <sz val="10"/>
        <rFont val="Noto Sans CJK SC"/>
        <charset val="134"/>
      </rPr>
      <t>左栏第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行</t>
    </r>
  </si>
  <si>
    <t>Dose Hidden in a Blend</t>
  </si>
  <si>
    <t>Dose Not Clearly Stated</t>
  </si>
  <si>
    <t>剂量藏在复合配方里</t>
  </si>
  <si>
    <t>Frequent Order Mistakes</t>
  </si>
  <si>
    <r>
      <rPr>
        <sz val="10"/>
        <rFont val="Noto Sans CJK SC"/>
        <charset val="134"/>
      </rPr>
      <t>和右栏第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行对应：剂量。</t>
    </r>
  </si>
  <si>
    <t>A2-04</t>
  </si>
  <si>
    <r>
      <rPr>
        <sz val="10"/>
        <rFont val="Noto Sans CJK SC"/>
        <charset val="134"/>
      </rPr>
      <t>左栏第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行</t>
    </r>
  </si>
  <si>
    <t>Source Not Disclosed</t>
  </si>
  <si>
    <t>Source Unclear</t>
  </si>
  <si>
    <t>没有标注来源</t>
  </si>
  <si>
    <r>
      <rPr>
        <sz val="10"/>
        <rFont val="Noto Sans CJK SC"/>
        <charset val="134"/>
      </rPr>
      <t>和右栏第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行对应：来源。</t>
    </r>
  </si>
  <si>
    <t>A2-05</t>
  </si>
  <si>
    <r>
      <rPr>
        <sz val="10"/>
        <rFont val="Noto Sans CJK SC"/>
        <charset val="134"/>
      </rPr>
      <t>左栏第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行</t>
    </r>
  </si>
  <si>
    <t>Unclear Daily Serving</t>
  </si>
  <si>
    <t>Hard-to-Follow Serving</t>
  </si>
  <si>
    <t>每日用量不清楚</t>
  </si>
  <si>
    <r>
      <rPr>
        <sz val="10"/>
        <rFont val="Noto Sans CJK SC"/>
        <charset val="134"/>
      </rPr>
      <t>和右栏第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行对应：用法。</t>
    </r>
  </si>
  <si>
    <t>A2-06</t>
  </si>
  <si>
    <r>
      <rPr>
        <sz val="10"/>
        <rFont val="Noto Sans CJK SC"/>
        <charset val="134"/>
      </rPr>
      <t>右栏表头（品牌</t>
    </r>
    <r>
      <rPr>
        <sz val="10"/>
        <rFont val="Arial"/>
        <charset val="1"/>
      </rPr>
      <t>Logo</t>
    </r>
    <r>
      <rPr>
        <sz val="10"/>
        <rFont val="Noto Sans CJK SC"/>
        <charset val="134"/>
      </rPr>
      <t>）</t>
    </r>
  </si>
  <si>
    <t>ZAB</t>
  </si>
  <si>
    <r>
      <rPr>
        <sz val="10"/>
        <rFont val="Noto Sans CJK SC"/>
        <charset val="134"/>
      </rPr>
      <t xml:space="preserve">品牌名 </t>
    </r>
    <r>
      <rPr>
        <sz val="10"/>
        <rFont val="Arial"/>
        <charset val="1"/>
      </rPr>
      <t>ZAB</t>
    </r>
  </si>
  <si>
    <t>ZABORATORY powered by ▬</t>
  </si>
  <si>
    <t>F13</t>
  </si>
  <si>
    <r>
      <rPr>
        <sz val="10"/>
        <rFont val="Noto Sans CJK SC"/>
        <charset val="134"/>
      </rPr>
      <t>已确认只用</t>
    </r>
    <r>
      <rPr>
        <sz val="10"/>
        <rFont val="Arial"/>
        <charset val="1"/>
      </rPr>
      <t>ZAB</t>
    </r>
    <r>
      <rPr>
        <sz val="10"/>
        <rFont val="Noto Sans CJK SC"/>
        <charset val="134"/>
      </rPr>
      <t>。请换成瓶身上实际的</t>
    </r>
    <r>
      <rPr>
        <sz val="10"/>
        <rFont val="Arial"/>
        <charset val="1"/>
      </rPr>
      <t>Zab Logo</t>
    </r>
    <r>
      <rPr>
        <sz val="10"/>
        <rFont val="Noto Sans CJK SC"/>
        <charset val="134"/>
      </rPr>
      <t>，去掉“</t>
    </r>
    <r>
      <rPr>
        <sz val="10"/>
        <rFont val="Arial"/>
        <charset val="1"/>
      </rPr>
      <t>ZABORATORY / POWERED BY”</t>
    </r>
    <r>
      <rPr>
        <sz val="10"/>
        <rFont val="Noto Sans CJK SC"/>
        <charset val="134"/>
      </rPr>
      <t>和红条。</t>
    </r>
  </si>
  <si>
    <t>A2-07</t>
  </si>
  <si>
    <r>
      <rPr>
        <sz val="10"/>
        <rFont val="Noto Sans CJK SC"/>
        <charset val="134"/>
      </rPr>
      <t>右栏第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行（红勾）</t>
    </r>
  </si>
  <si>
    <t>700mg in Every Serving</t>
  </si>
  <si>
    <t>A2-08</t>
  </si>
  <si>
    <r>
      <rPr>
        <sz val="10"/>
        <rFont val="Noto Sans CJK SC"/>
        <charset val="134"/>
      </rPr>
      <t>右栏第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行（红勾）</t>
    </r>
  </si>
  <si>
    <t>Source Clearly Listed</t>
  </si>
  <si>
    <t>Unclear Item Selection</t>
  </si>
  <si>
    <t>A2-09</t>
  </si>
  <si>
    <r>
      <rPr>
        <sz val="10"/>
        <rFont val="Noto Sans CJK SC"/>
        <charset val="134"/>
      </rPr>
      <t>右栏第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行（红勾）</t>
    </r>
  </si>
  <si>
    <t>Just 2 Capsules Daily</t>
  </si>
  <si>
    <t>2 Capsules, With Water</t>
  </si>
  <si>
    <r>
      <rPr>
        <sz val="10"/>
        <rFont val="Noto Sans CJK SC"/>
        <charset val="134"/>
      </rPr>
      <t>每日只需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粒</t>
    </r>
  </si>
  <si>
    <t>Process Orders Quickly</t>
  </si>
  <si>
    <t>A2-10</t>
  </si>
  <si>
    <r>
      <rPr>
        <sz val="10"/>
        <rFont val="Noto Sans CJK SC"/>
        <charset val="134"/>
      </rPr>
      <t xml:space="preserve">底部过渡大标题（红色斜体部分用 </t>
    </r>
    <r>
      <rPr>
        <sz val="10"/>
        <rFont val="Arial"/>
        <charset val="1"/>
      </rPr>
      <t xml:space="preserve">*…* </t>
    </r>
    <r>
      <rPr>
        <sz val="10"/>
        <rFont val="Noto Sans CJK SC"/>
        <charset val="134"/>
      </rPr>
      <t>标出）</t>
    </r>
  </si>
  <si>
    <t>Energy Support Starts
in Your *Mitochondria*.*</t>
  </si>
  <si>
    <t>Support That Starts
*Inside Your Cells*.*</t>
  </si>
  <si>
    <t>能量支持，从线粒体开始。</t>
  </si>
  <si>
    <t>Feel Good
from the *Inside Out*</t>
  </si>
  <si>
    <t>F08</t>
  </si>
  <si>
    <r>
      <rPr>
        <sz val="10"/>
        <rFont val="Noto Sans CJK SC"/>
        <charset val="134"/>
      </rPr>
      <t>红色斜体只放“</t>
    </r>
    <r>
      <rPr>
        <sz val="10"/>
        <rFont val="Arial"/>
        <charset val="1"/>
      </rPr>
      <t>Mitochondria”</t>
    </r>
    <r>
      <rPr>
        <sz val="10"/>
        <rFont val="Noto Sans CJK SC"/>
        <charset val="134"/>
      </rPr>
      <t>。句尾的</t>
    </r>
    <r>
      <rPr>
        <sz val="10"/>
        <rFont val="Arial"/>
        <charset val="1"/>
      </rPr>
      <t>*</t>
    </r>
    <r>
      <rPr>
        <sz val="10"/>
        <rFont val="Noto Sans CJK SC"/>
        <charset val="134"/>
      </rPr>
      <t>是功能声明星号（结构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功能宣称），要和</t>
    </r>
    <r>
      <rPr>
        <sz val="10"/>
        <rFont val="Arial"/>
        <charset val="1"/>
      </rPr>
      <t>FDA</t>
    </r>
    <r>
      <rPr>
        <sz val="10"/>
        <rFont val="Noto Sans CJK SC"/>
        <charset val="134"/>
      </rPr>
      <t>免责声明对应。这句标题通过连图接到图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顶部的</t>
    </r>
    <r>
      <rPr>
        <sz val="10"/>
        <rFont val="Arial"/>
        <charset val="1"/>
      </rPr>
      <t>700mg</t>
    </r>
    <r>
      <rPr>
        <sz val="10"/>
        <rFont val="Noto Sans CJK SC"/>
        <charset val="134"/>
      </rPr>
      <t>那句。</t>
    </r>
  </si>
  <si>
    <t>A3-01</t>
  </si>
  <si>
    <r>
      <rPr>
        <sz val="10"/>
        <rFont val="Arial"/>
        <charset val="1"/>
      </rPr>
      <t>A+</t>
    </r>
    <r>
      <rPr>
        <sz val="10"/>
        <rFont val="Noto Sans CJK SC"/>
        <charset val="134"/>
      </rPr>
      <t>图</t>
    </r>
    <r>
      <rPr>
        <sz val="10"/>
        <rFont val="Arial"/>
        <charset val="1"/>
      </rPr>
      <t>3</t>
    </r>
  </si>
  <si>
    <r>
      <rPr>
        <sz val="10"/>
        <rFont val="Arial"/>
        <charset val="1"/>
      </rPr>
      <t>A+-</t>
    </r>
    <r>
      <rPr>
        <sz val="10"/>
        <rFont val="Noto Sans CJK SC"/>
        <charset val="134"/>
      </rPr>
      <t>连图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纯图</t>
    </r>
    <r>
      <rPr>
        <sz val="10"/>
        <rFont val="Arial"/>
        <charset val="1"/>
      </rPr>
      <t>3.png</t>
    </r>
  </si>
  <si>
    <r>
      <rPr>
        <sz val="10"/>
        <rFont val="Noto Sans CJK SC"/>
        <charset val="134"/>
      </rPr>
      <t>顶部主句（“</t>
    </r>
    <r>
      <rPr>
        <sz val="10"/>
        <rFont val="Arial"/>
        <charset val="1"/>
      </rPr>
      <t>700mg”</t>
    </r>
    <r>
      <rPr>
        <sz val="10"/>
        <rFont val="Noto Sans CJK SC"/>
        <charset val="134"/>
      </rPr>
      <t>加粗斜体）</t>
    </r>
  </si>
  <si>
    <t>**700mg** Urolithin A per serving to
support energy metabolism and
your active lifestyle.*</t>
  </si>
  <si>
    <t>**700mg** Urolithin A per serving to
support your energy metabolism.*</t>
  </si>
  <si>
    <r>
      <rPr>
        <sz val="10"/>
        <rFont val="Noto Sans CJK SC"/>
        <charset val="134"/>
      </rPr>
      <t>每份</t>
    </r>
    <r>
      <rPr>
        <sz val="10"/>
        <rFont val="Arial"/>
        <charset val="1"/>
      </rPr>
      <t>700mg</t>
    </r>
    <r>
      <rPr>
        <sz val="10"/>
        <rFont val="Noto Sans CJK SC"/>
        <charset val="134"/>
      </rPr>
      <t>尿石素</t>
    </r>
    <r>
      <rPr>
        <sz val="10"/>
        <rFont val="Arial"/>
        <charset val="1"/>
      </rPr>
      <t>A</t>
    </r>
    <r>
      <rPr>
        <sz val="10"/>
        <rFont val="Noto Sans CJK SC"/>
        <charset val="134"/>
      </rPr>
      <t>，支持能量代谢与活跃生活。</t>
    </r>
  </si>
  <si>
    <t>**1,000mg** Urolithin A daily to
support your active lifestyle.*</t>
  </si>
  <si>
    <t>F01, F08</t>
  </si>
  <si>
    <r>
      <rPr>
        <sz val="10"/>
        <rFont val="Noto Sans CJK SC"/>
        <charset val="134"/>
      </rPr>
      <t>【必改】原稿的</t>
    </r>
    <r>
      <rPr>
        <sz val="10"/>
        <rFont val="Arial"/>
        <charset val="1"/>
      </rPr>
      <t>1,000mg</t>
    </r>
    <r>
      <rPr>
        <sz val="10"/>
        <rFont val="Noto Sans CJK SC"/>
        <charset val="134"/>
      </rPr>
      <t>是同品牌</t>
    </r>
    <r>
      <rPr>
        <sz val="10"/>
        <rFont val="Arial"/>
        <charset val="1"/>
      </rPr>
      <t>1000mg</t>
    </r>
    <r>
      <rPr>
        <sz val="10"/>
        <rFont val="Noto Sans CJK SC"/>
        <charset val="134"/>
      </rPr>
      <t>软胶囊那款的数据，本</t>
    </r>
    <r>
      <rPr>
        <sz val="10"/>
        <rFont val="Arial"/>
        <charset val="1"/>
      </rPr>
      <t>ASIN</t>
    </r>
    <r>
      <rPr>
        <sz val="10"/>
        <rFont val="Noto Sans CJK SC"/>
        <charset val="134"/>
      </rPr>
      <t>是每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粒</t>
    </r>
    <r>
      <rPr>
        <sz val="10"/>
        <rFont val="Arial"/>
        <charset val="1"/>
      </rPr>
      <t>700mg</t>
    </r>
    <r>
      <rPr>
        <sz val="10"/>
        <rFont val="Noto Sans CJK SC"/>
        <charset val="134"/>
      </rPr>
      <t>。如果三行放不下，就用备选句。</t>
    </r>
  </si>
  <si>
    <t>A3-02</t>
  </si>
  <si>
    <t>Logo</t>
  </si>
  <si>
    <r>
      <rPr>
        <sz val="10"/>
        <rFont val="Noto Sans CJK SC"/>
        <charset val="134"/>
      </rPr>
      <t>换成实际的</t>
    </r>
    <r>
      <rPr>
        <sz val="10"/>
        <rFont val="Arial"/>
        <charset val="1"/>
      </rPr>
      <t>Zab Logo</t>
    </r>
    <r>
      <rPr>
        <sz val="10"/>
        <rFont val="Noto Sans CJK SC"/>
        <charset val="134"/>
      </rPr>
      <t>。</t>
    </r>
  </si>
  <si>
    <t>A3-03</t>
  </si>
  <si>
    <r>
      <rPr>
        <sz val="10"/>
        <rFont val="Noto Sans CJK SC"/>
        <charset val="134"/>
      </rPr>
      <t xml:space="preserve">底部品牌收尾句（红色斜体部分用 </t>
    </r>
    <r>
      <rPr>
        <sz val="10"/>
        <rFont val="Arial"/>
        <charset val="1"/>
      </rPr>
      <t xml:space="preserve">*…* </t>
    </r>
    <r>
      <rPr>
        <sz val="10"/>
        <rFont val="Noto Sans CJK SC"/>
        <charset val="134"/>
      </rPr>
      <t>标出）</t>
    </r>
  </si>
  <si>
    <t>Made for Every
*Active Day*.</t>
  </si>
  <si>
    <t>Feel Good
from the *Inside Out*.</t>
  </si>
  <si>
    <t>为每一个活跃的日子而生。</t>
  </si>
  <si>
    <t>F07, F14</t>
  </si>
  <si>
    <r>
      <rPr>
        <sz val="10"/>
        <rFont val="Noto Sans CJK SC"/>
        <charset val="134"/>
      </rPr>
      <t>不写具体功效，所以不需要星号。配图是网球女性，和“</t>
    </r>
    <r>
      <rPr>
        <sz val="10"/>
        <rFont val="Arial"/>
        <charset val="1"/>
      </rPr>
      <t>for varied lifestyles”</t>
    </r>
    <r>
      <rPr>
        <sz val="10"/>
        <rFont val="Noto Sans CJK SC"/>
        <charset val="134"/>
      </rPr>
      <t>一致。</t>
    </r>
  </si>
  <si>
    <t>A3-04</t>
  </si>
  <si>
    <r>
      <rPr>
        <sz val="10"/>
        <rFont val="Noto Sans CJK SC"/>
        <charset val="134"/>
      </rPr>
      <t>【新增】底边</t>
    </r>
    <r>
      <rPr>
        <sz val="10"/>
        <rFont val="Arial"/>
        <charset val="1"/>
      </rPr>
      <t>FDA</t>
    </r>
    <r>
      <rPr>
        <sz val="10"/>
        <rFont val="Noto Sans CJK SC"/>
        <charset val="134"/>
      </rPr>
      <t>免责声明（小字）</t>
    </r>
  </si>
  <si>
    <t>*These statements have not been evaluated by the Food and Drug Administration. This product is not intended to diagnose, treat, cure, or prevent any disease.</t>
  </si>
  <si>
    <r>
      <rPr>
        <sz val="10"/>
        <rFont val="Arial"/>
        <charset val="1"/>
      </rPr>
      <t>FDA</t>
    </r>
    <r>
      <rPr>
        <sz val="10"/>
        <rFont val="Noto Sans CJK SC"/>
        <charset val="134"/>
      </rPr>
      <t>免责声明</t>
    </r>
  </si>
  <si>
    <r>
      <rPr>
        <sz val="10"/>
        <rFont val="Noto Sans CJK SC"/>
        <charset val="134"/>
      </rPr>
      <t>图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和图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里有带</t>
    </r>
    <r>
      <rPr>
        <sz val="10"/>
        <rFont val="Arial"/>
        <charset val="1"/>
      </rPr>
      <t>*</t>
    </r>
    <r>
      <rPr>
        <sz val="10"/>
        <rFont val="Noto Sans CJK SC"/>
        <charset val="134"/>
      </rPr>
      <t>的功能宣称，所以图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底边要放。手机端最低也要看得清。</t>
    </r>
  </si>
  <si>
    <t>A4-01</t>
  </si>
  <si>
    <r>
      <rPr>
        <sz val="10"/>
        <rFont val="Arial"/>
        <charset val="1"/>
      </rPr>
      <t>A+</t>
    </r>
    <r>
      <rPr>
        <sz val="10"/>
        <rFont val="Noto Sans CJK SC"/>
        <charset val="134"/>
      </rPr>
      <t>图</t>
    </r>
    <r>
      <rPr>
        <sz val="10"/>
        <rFont val="Arial"/>
        <charset val="1"/>
      </rPr>
      <t>4</t>
    </r>
  </si>
  <si>
    <r>
      <rPr>
        <sz val="10"/>
        <rFont val="Arial"/>
        <charset val="1"/>
      </rPr>
      <t>A+-</t>
    </r>
    <r>
      <rPr>
        <sz val="10"/>
        <rFont val="Noto Sans CJK SC"/>
        <charset val="134"/>
      </rPr>
      <t>纯图</t>
    </r>
    <r>
      <rPr>
        <sz val="10"/>
        <rFont val="Arial"/>
        <charset val="1"/>
      </rPr>
      <t>4.png</t>
    </r>
  </si>
  <si>
    <r>
      <rPr>
        <sz val="10"/>
        <rFont val="Noto Sans CJK SC"/>
        <charset val="134"/>
      </rPr>
      <t>左上主标题（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行：细体＋粗体）</t>
    </r>
  </si>
  <si>
    <t>Energy Support*
**Simplified.**</t>
  </si>
  <si>
    <t>Daily Support
**Simplified.**</t>
  </si>
  <si>
    <t>能量支持，化繁为简。</t>
  </si>
  <si>
    <t>Aging Support
**Simplified.**</t>
  </si>
  <si>
    <r>
      <rPr>
        <sz val="10"/>
        <rFont val="Noto Sans CJK SC"/>
        <charset val="134"/>
      </rPr>
      <t>【必改】</t>
    </r>
    <r>
      <rPr>
        <sz val="10"/>
        <rFont val="Arial"/>
        <charset val="1"/>
      </rPr>
      <t>listing</t>
    </r>
    <r>
      <rPr>
        <sz val="10"/>
        <rFont val="Noto Sans CJK SC"/>
        <charset val="134"/>
      </rPr>
      <t>里没有“</t>
    </r>
    <r>
      <rPr>
        <sz val="10"/>
        <rFont val="Arial"/>
        <charset val="1"/>
      </rPr>
      <t>Aging”</t>
    </r>
    <r>
      <rPr>
        <sz val="10"/>
        <rFont val="Noto Sans CJK SC"/>
        <charset val="134"/>
      </rPr>
      <t>，改成</t>
    </r>
    <r>
      <rPr>
        <sz val="10"/>
        <rFont val="Arial"/>
        <charset val="1"/>
      </rPr>
      <t>listing</t>
    </r>
    <r>
      <rPr>
        <sz val="10"/>
        <rFont val="Noto Sans CJK SC"/>
        <charset val="134"/>
      </rPr>
      <t>已有的能量代谢方向。字数和原稿接近（</t>
    </r>
    <r>
      <rPr>
        <sz val="10"/>
        <rFont val="Arial"/>
        <charset val="1"/>
      </rPr>
      <t>14 vs 13</t>
    </r>
    <r>
      <rPr>
        <sz val="10"/>
        <rFont val="Noto Sans CJK SC"/>
        <charset val="134"/>
      </rPr>
      <t>），版式不用动。</t>
    </r>
  </si>
  <si>
    <t>A4-02</t>
  </si>
  <si>
    <r>
      <rPr>
        <sz val="10"/>
        <rFont val="Noto Sans CJK SC"/>
        <charset val="134"/>
      </rPr>
      <t>图标“</t>
    </r>
    <r>
      <rPr>
        <sz val="10"/>
        <rFont val="Arial"/>
        <charset val="1"/>
      </rPr>
      <t>1”</t>
    </r>
    <r>
      <rPr>
        <sz val="10"/>
        <rFont val="Noto Sans CJK SC"/>
        <charset val="134"/>
      </rPr>
      <t>旁小标题</t>
    </r>
  </si>
  <si>
    <t>Single Ingredient</t>
  </si>
  <si>
    <t>One Active Ingredient</t>
  </si>
  <si>
    <t>单一成分</t>
  </si>
  <si>
    <r>
      <rPr>
        <sz val="10"/>
        <rFont val="Noto Sans CJK SC"/>
        <charset val="134"/>
      </rPr>
      <t>保留。标签上只有</t>
    </r>
    <r>
      <rPr>
        <sz val="10"/>
        <rFont val="Arial"/>
        <charset val="1"/>
      </rPr>
      <t>Urolithin A</t>
    </r>
    <r>
      <rPr>
        <sz val="10"/>
        <rFont val="Noto Sans CJK SC"/>
        <charset val="134"/>
      </rPr>
      <t>一种活性成分。</t>
    </r>
  </si>
  <si>
    <t>A4-03</t>
  </si>
  <si>
    <r>
      <rPr>
        <sz val="10"/>
        <rFont val="Noto Sans CJK SC"/>
        <charset val="134"/>
      </rPr>
      <t>小标题下说明（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行）</t>
    </r>
  </si>
  <si>
    <t>One active ingredient:
700mg Urolithin A per serving.</t>
  </si>
  <si>
    <t>One clear dose:
700mg per 2 capsules.</t>
  </si>
  <si>
    <r>
      <rPr>
        <sz val="10"/>
        <rFont val="Noto Sans CJK SC"/>
        <charset val="134"/>
      </rPr>
      <t>一种活性成分：每份</t>
    </r>
    <r>
      <rPr>
        <sz val="10"/>
        <rFont val="Arial"/>
        <charset val="1"/>
      </rPr>
      <t>700mg</t>
    </r>
    <r>
      <rPr>
        <sz val="10"/>
        <rFont val="Noto Sans CJK SC"/>
        <charset val="134"/>
      </rPr>
      <t>尿石素</t>
    </r>
    <r>
      <rPr>
        <sz val="10"/>
        <rFont val="Arial"/>
        <charset val="1"/>
      </rPr>
      <t>A</t>
    </r>
    <r>
      <rPr>
        <sz val="10"/>
        <rFont val="Noto Sans CJK SC"/>
        <charset val="134"/>
      </rPr>
      <t>。</t>
    </r>
  </si>
  <si>
    <t>A single-ingredient formula
for aging support.</t>
  </si>
  <si>
    <r>
      <rPr>
        <sz val="10"/>
        <rFont val="Noto Sans CJK SC"/>
        <charset val="134"/>
      </rPr>
      <t>删掉</t>
    </r>
    <r>
      <rPr>
        <sz val="10"/>
        <rFont val="Arial"/>
        <charset val="1"/>
      </rPr>
      <t>aging</t>
    </r>
    <r>
      <rPr>
        <sz val="10"/>
        <rFont val="Noto Sans CJK SC"/>
        <charset val="134"/>
      </rPr>
      <t>。</t>
    </r>
  </si>
  <si>
    <t>A4-04</t>
  </si>
  <si>
    <r>
      <rPr>
        <sz val="10"/>
        <rFont val="Arial"/>
        <charset val="1"/>
      </rPr>
      <t>Supplement Facts</t>
    </r>
    <r>
      <rPr>
        <sz val="10"/>
        <rFont val="Noto Sans CJK SC"/>
        <charset val="134"/>
      </rPr>
      <t>｜份量行</t>
    </r>
  </si>
  <si>
    <t>45 Servings Per Container / Serving size: 2 Capsules / 90 Capsules</t>
  </si>
  <si>
    <r>
      <rPr>
        <sz val="10"/>
        <rFont val="Noto Sans CJK SC"/>
        <charset val="134"/>
      </rPr>
      <t>每瓶</t>
    </r>
    <r>
      <rPr>
        <sz val="10"/>
        <rFont val="Arial"/>
        <charset val="1"/>
      </rPr>
      <t>45</t>
    </r>
    <r>
      <rPr>
        <sz val="10"/>
        <rFont val="Noto Sans CJK SC"/>
        <charset val="134"/>
      </rPr>
      <t xml:space="preserve">份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>每份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 xml:space="preserve">粒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>共</t>
    </r>
    <r>
      <rPr>
        <sz val="10"/>
        <rFont val="Arial"/>
        <charset val="1"/>
      </rPr>
      <t>90</t>
    </r>
    <r>
      <rPr>
        <sz val="10"/>
        <rFont val="Noto Sans CJK SC"/>
        <charset val="134"/>
      </rPr>
      <t>粒</t>
    </r>
  </si>
  <si>
    <t>F01, F02</t>
  </si>
  <si>
    <r>
      <rPr>
        <sz val="10"/>
        <rFont val="Noto Sans CJK SC"/>
        <charset val="134"/>
      </rPr>
      <t>保留，和</t>
    </r>
    <r>
      <rPr>
        <sz val="10"/>
        <rFont val="Arial"/>
        <charset val="1"/>
      </rPr>
      <t>listing</t>
    </r>
    <r>
      <rPr>
        <sz val="10"/>
        <rFont val="Noto Sans CJK SC"/>
        <charset val="134"/>
      </rPr>
      <t>一致。</t>
    </r>
  </si>
  <si>
    <t>A4-05</t>
  </si>
  <si>
    <r>
      <rPr>
        <sz val="10"/>
        <rFont val="Arial"/>
        <charset val="1"/>
      </rPr>
      <t>Supplement Facts</t>
    </r>
    <r>
      <rPr>
        <sz val="10"/>
        <rFont val="Noto Sans CJK SC"/>
        <charset val="134"/>
      </rPr>
      <t>｜成分行</t>
    </r>
  </si>
  <si>
    <t>Urolithin A (from Punica granatum Peel Extract) 700 mg †</t>
  </si>
  <si>
    <r>
      <rPr>
        <sz val="10"/>
        <rFont val="Noto Sans CJK SC"/>
        <charset val="134"/>
      </rPr>
      <t>尿石素</t>
    </r>
    <r>
      <rPr>
        <sz val="10"/>
        <rFont val="Arial"/>
        <charset val="1"/>
      </rPr>
      <t>A</t>
    </r>
    <r>
      <rPr>
        <sz val="10"/>
        <rFont val="Noto Sans CJK SC"/>
        <charset val="134"/>
      </rPr>
      <t>（来自石榴皮提取物）</t>
    </r>
    <r>
      <rPr>
        <sz val="10"/>
        <rFont val="Arial"/>
        <charset val="1"/>
      </rPr>
      <t>700mg</t>
    </r>
  </si>
  <si>
    <t>Urolithin A (from Punica Granatum Peel Extract) 700 mg †</t>
  </si>
  <si>
    <r>
      <rPr>
        <sz val="10"/>
        <rFont val="Noto Sans CJK SC"/>
        <charset val="134"/>
      </rPr>
      <t>拉丁学名的种加词要小写：</t>
    </r>
    <r>
      <rPr>
        <sz val="10"/>
        <rFont val="Arial"/>
        <charset val="1"/>
      </rPr>
      <t>granatum</t>
    </r>
    <r>
      <rPr>
        <sz val="10"/>
        <rFont val="Noto Sans CJK SC"/>
        <charset val="134"/>
      </rPr>
      <t>。其余以实物标签为准。</t>
    </r>
  </si>
  <si>
    <t>A4-06</t>
  </si>
  <si>
    <r>
      <rPr>
        <sz val="10"/>
        <rFont val="Arial"/>
        <charset val="1"/>
      </rPr>
      <t>Supplement Facts</t>
    </r>
    <r>
      <rPr>
        <sz val="10"/>
        <rFont val="Noto Sans CJK SC"/>
        <charset val="134"/>
      </rPr>
      <t>｜</t>
    </r>
    <r>
      <rPr>
        <sz val="10"/>
        <rFont val="Arial"/>
        <charset val="1"/>
      </rPr>
      <t>Other Ingredients</t>
    </r>
  </si>
  <si>
    <t>Other Ingredients: [Capsule shell — copy exactly from the physical label], MCT Oil, Sunflower Lecithin, Annatto (color).</t>
  </si>
  <si>
    <r>
      <rPr>
        <sz val="10"/>
        <rFont val="Noto Sans CJK SC"/>
        <charset val="134"/>
      </rPr>
      <t>其他成分：</t>
    </r>
    <r>
      <rPr>
        <sz val="10"/>
        <rFont val="Arial"/>
        <charset val="1"/>
      </rPr>
      <t>[</t>
    </r>
    <r>
      <rPr>
        <sz val="10"/>
        <rFont val="Noto Sans CJK SC"/>
        <charset val="134"/>
      </rPr>
      <t>胶囊壳按实物标签照抄</t>
    </r>
    <r>
      <rPr>
        <sz val="10"/>
        <rFont val="Arial"/>
        <charset val="1"/>
      </rPr>
      <t>]</t>
    </r>
    <r>
      <rPr>
        <sz val="10"/>
        <rFont val="Noto Sans CJK SC"/>
        <charset val="134"/>
      </rPr>
      <t>、</t>
    </r>
    <r>
      <rPr>
        <sz val="10"/>
        <rFont val="Arial"/>
        <charset val="1"/>
      </rPr>
      <t>MCT</t>
    </r>
    <r>
      <rPr>
        <sz val="10"/>
        <rFont val="Noto Sans CJK SC"/>
        <charset val="134"/>
      </rPr>
      <t>油、葵花卵磷脂、胭脂树（着色）。</t>
    </r>
  </si>
  <si>
    <t>Other Ingredients: Other Ingredients: Vegan Softgel (Glycerin, Purified Water), MCT Oil, Sunflower Lecithin.</t>
  </si>
  <si>
    <t>F03, F04</t>
  </si>
  <si>
    <r>
      <rPr>
        <sz val="10"/>
        <rFont val="Noto Sans CJK SC"/>
        <charset val="134"/>
      </rPr>
      <t>【必改】① “</t>
    </r>
    <r>
      <rPr>
        <sz val="10"/>
        <rFont val="Arial"/>
        <charset val="1"/>
      </rPr>
      <t>Other Ingredients:”</t>
    </r>
    <r>
      <rPr>
        <sz val="10"/>
        <rFont val="Noto Sans CJK SC"/>
        <charset val="134"/>
      </rPr>
      <t>写了两遍。② 原稿写</t>
    </r>
    <r>
      <rPr>
        <sz val="10"/>
        <rFont val="Arial"/>
        <charset val="1"/>
      </rPr>
      <t>Vegan Softgel</t>
    </r>
    <r>
      <rPr>
        <sz val="10"/>
        <rFont val="Noto Sans CJK SC"/>
        <charset val="134"/>
      </rPr>
      <t>，但</t>
    </r>
    <r>
      <rPr>
        <sz val="10"/>
        <rFont val="Arial"/>
        <charset val="1"/>
      </rPr>
      <t>listing</t>
    </r>
    <r>
      <rPr>
        <sz val="10"/>
        <rFont val="Noto Sans CJK SC"/>
        <charset val="134"/>
      </rPr>
      <t>写的是</t>
    </r>
    <r>
      <rPr>
        <sz val="10"/>
        <rFont val="Arial"/>
        <charset val="1"/>
      </rPr>
      <t>90 Capsules</t>
    </r>
    <r>
      <rPr>
        <sz val="10"/>
        <rFont val="Noto Sans CJK SC"/>
        <charset val="134"/>
      </rPr>
      <t>，很可能用了</t>
    </r>
    <r>
      <rPr>
        <sz val="10"/>
        <rFont val="Arial"/>
        <charset val="1"/>
      </rPr>
      <t>1000mg</t>
    </r>
    <r>
      <rPr>
        <sz val="10"/>
        <rFont val="Noto Sans CJK SC"/>
        <charset val="134"/>
      </rPr>
      <t xml:space="preserve">软胶囊那款的标签。③ </t>
    </r>
    <r>
      <rPr>
        <sz val="10"/>
        <rFont val="Arial"/>
        <charset val="1"/>
      </rPr>
      <t>listing</t>
    </r>
    <r>
      <rPr>
        <sz val="10"/>
        <rFont val="Noto Sans CJK SC"/>
        <charset val="134"/>
      </rPr>
      <t>提到胭脂树天然着色，标签上没有。这一格必须和实物标签逐字一致。</t>
    </r>
  </si>
  <si>
    <t>A4-07</t>
  </si>
  <si>
    <r>
      <rPr>
        <sz val="10"/>
        <rFont val="Noto Sans CJK SC"/>
        <charset val="134"/>
      </rPr>
      <t>徽章｜圆形</t>
    </r>
    <r>
      <rPr>
        <sz val="10"/>
        <rFont val="Arial"/>
        <charset val="1"/>
      </rPr>
      <t>1</t>
    </r>
  </si>
  <si>
    <t>GLUTEN-FREE</t>
  </si>
  <si>
    <t>无麸质</t>
  </si>
  <si>
    <t>F11</t>
  </si>
  <si>
    <r>
      <rPr>
        <sz val="10"/>
        <rFont val="Noto Sans CJK SC"/>
        <charset val="134"/>
      </rPr>
      <t>保留（</t>
    </r>
    <r>
      <rPr>
        <sz val="10"/>
        <rFont val="Arial"/>
        <charset val="1"/>
      </rPr>
      <t>2026-09-28</t>
    </r>
    <r>
      <rPr>
        <sz val="10"/>
        <rFont val="Noto Sans CJK SC"/>
        <charset val="134"/>
      </rPr>
      <t>用户确认有依据）。</t>
    </r>
  </si>
  <si>
    <t>A4-08</t>
  </si>
  <si>
    <r>
      <rPr>
        <sz val="10"/>
        <rFont val="Noto Sans CJK SC"/>
        <charset val="134"/>
      </rPr>
      <t>徽章｜圆形</t>
    </r>
    <r>
      <rPr>
        <sz val="10"/>
        <rFont val="Arial"/>
        <charset val="1"/>
      </rPr>
      <t>2</t>
    </r>
  </si>
  <si>
    <t>NON-GMO</t>
  </si>
  <si>
    <t>非转基因</t>
  </si>
  <si>
    <t>保留（用户确认有依据）。</t>
  </si>
  <si>
    <t>A4-09</t>
  </si>
  <si>
    <r>
      <rPr>
        <sz val="10"/>
        <rFont val="Noto Sans CJK SC"/>
        <charset val="134"/>
      </rPr>
      <t>徽章｜长方形</t>
    </r>
    <r>
      <rPr>
        <sz val="10"/>
        <rFont val="Arial"/>
        <charset val="1"/>
      </rPr>
      <t>1</t>
    </r>
  </si>
  <si>
    <t>AMERICAN OWNED QUALITY CONTROL</t>
  </si>
  <si>
    <t>美国企业自有品控</t>
  </si>
  <si>
    <t>保留（用户确认）。</t>
  </si>
  <si>
    <t>A4-10</t>
  </si>
  <si>
    <r>
      <rPr>
        <sz val="10"/>
        <rFont val="Noto Sans CJK SC"/>
        <charset val="134"/>
      </rPr>
      <t>徽章｜长方形</t>
    </r>
    <r>
      <rPr>
        <sz val="10"/>
        <rFont val="Arial"/>
        <charset val="1"/>
      </rPr>
      <t>2</t>
    </r>
  </si>
  <si>
    <t>Formulated in the United States with imported ingredients.</t>
  </si>
  <si>
    <t>美国研发配方，使用进口原料</t>
  </si>
  <si>
    <r>
      <rPr>
        <sz val="10"/>
        <rFont val="Noto Sans CJK SC"/>
        <charset val="134"/>
      </rPr>
      <t>保留（用户确认）。这是对原产地的限定说法，不要改成“</t>
    </r>
    <r>
      <rPr>
        <sz val="10"/>
        <rFont val="Arial"/>
        <charset val="1"/>
      </rPr>
      <t>Made in USA”</t>
    </r>
    <r>
      <rPr>
        <sz val="10"/>
        <rFont val="Noto Sans CJK SC"/>
        <charset val="134"/>
      </rPr>
      <t>。</t>
    </r>
  </si>
  <si>
    <t>A4-11</t>
  </si>
  <si>
    <r>
      <rPr>
        <sz val="10"/>
        <rFont val="Noto Sans CJK SC"/>
        <charset val="134"/>
      </rPr>
      <t xml:space="preserve">徽章｜方形 </t>
    </r>
    <r>
      <rPr>
        <sz val="10"/>
        <rFont val="Arial"/>
        <charset val="1"/>
      </rPr>
      <t>GMP</t>
    </r>
  </si>
  <si>
    <t>cGMP / CERTIFIED FACILITY</t>
  </si>
  <si>
    <r>
      <rPr>
        <sz val="10"/>
        <rFont val="Arial"/>
        <charset val="1"/>
      </rPr>
      <t>cGMP</t>
    </r>
    <r>
      <rPr>
        <sz val="10"/>
        <rFont val="Noto Sans CJK SC"/>
        <charset val="134"/>
      </rPr>
      <t>认证工厂</t>
    </r>
  </si>
  <si>
    <t>GMP / CERTIFIED FACILITY</t>
  </si>
  <si>
    <t>F05</t>
  </si>
  <si>
    <r>
      <rPr>
        <sz val="10"/>
        <rFont val="Arial"/>
        <charset val="1"/>
      </rPr>
      <t>listing</t>
    </r>
    <r>
      <rPr>
        <sz val="10"/>
        <rFont val="Noto Sans CJK SC"/>
        <charset val="134"/>
      </rPr>
      <t>原文是</t>
    </r>
    <r>
      <rPr>
        <sz val="10"/>
        <rFont val="Arial"/>
        <charset val="1"/>
      </rPr>
      <t>cGMP</t>
    </r>
    <r>
      <rPr>
        <sz val="10"/>
        <rFont val="Noto Sans CJK SC"/>
        <charset val="134"/>
      </rPr>
      <t>，改成</t>
    </r>
    <r>
      <rPr>
        <sz val="10"/>
        <rFont val="Arial"/>
        <charset val="1"/>
      </rPr>
      <t>cGMP</t>
    </r>
    <r>
      <rPr>
        <sz val="10"/>
        <rFont val="Noto Sans CJK SC"/>
        <charset val="134"/>
      </rPr>
      <t>和</t>
    </r>
    <r>
      <rPr>
        <sz val="10"/>
        <rFont val="Arial"/>
        <charset val="1"/>
      </rPr>
      <t>listing</t>
    </r>
    <r>
      <rPr>
        <sz val="10"/>
        <rFont val="Noto Sans CJK SC"/>
        <charset val="134"/>
      </rPr>
      <t>保持一致。</t>
    </r>
  </si>
  <si>
    <t>A4-12</t>
  </si>
  <si>
    <t>【可选新增】徽章</t>
  </si>
  <si>
    <t>VEGAN  /  NO ARTIFICIAL ADDITIVES</t>
  </si>
  <si>
    <r>
      <rPr>
        <sz val="10"/>
        <rFont val="Noto Sans CJK SC"/>
        <charset val="134"/>
      </rPr>
      <t xml:space="preserve">纯素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>无人工添加</t>
    </r>
  </si>
  <si>
    <t>F09, F04</t>
  </si>
  <si>
    <r>
      <rPr>
        <sz val="10"/>
        <rFont val="Noto Sans CJK SC"/>
        <charset val="134"/>
      </rPr>
      <t>可选。这两项</t>
    </r>
    <r>
      <rPr>
        <sz val="10"/>
        <rFont val="Arial"/>
        <charset val="1"/>
      </rPr>
      <t>listing</t>
    </r>
    <r>
      <rPr>
        <sz val="10"/>
        <rFont val="Noto Sans CJK SC"/>
        <charset val="134"/>
      </rPr>
      <t>都有写，放得下可以补在徽章区。</t>
    </r>
  </si>
  <si>
    <t>A4-13</t>
  </si>
  <si>
    <r>
      <rPr>
        <sz val="10"/>
        <rFont val="Noto Sans CJK SC"/>
        <charset val="134"/>
      </rPr>
      <t>主标题带</t>
    </r>
    <r>
      <rPr>
        <sz val="10"/>
        <rFont val="Arial"/>
        <charset val="1"/>
      </rPr>
      <t>*</t>
    </r>
    <r>
      <rPr>
        <sz val="10"/>
        <rFont val="Noto Sans CJK SC"/>
        <charset val="134"/>
      </rPr>
      <t>，所以必须放。</t>
    </r>
  </si>
  <si>
    <t>BS-00</t>
  </si>
  <si>
    <r>
      <rPr>
        <sz val="10"/>
        <rFont val="Noto Sans CJK SC"/>
        <charset val="134"/>
      </rPr>
      <t>品牌故事</t>
    </r>
    <r>
      <rPr>
        <sz val="10"/>
        <rFont val="Arial"/>
        <charset val="1"/>
      </rPr>
      <t>-1</t>
    </r>
  </si>
  <si>
    <r>
      <rPr>
        <sz val="10"/>
        <rFont val="Noto Sans CJK SC"/>
        <charset val="134"/>
      </rPr>
      <t>品牌轮播图</t>
    </r>
    <r>
      <rPr>
        <sz val="10"/>
        <rFont val="Arial"/>
        <charset val="1"/>
      </rPr>
      <t>-1.png</t>
    </r>
  </si>
  <si>
    <r>
      <rPr>
        <sz val="10"/>
        <rFont val="Noto Sans CJK SC"/>
        <charset val="134"/>
      </rPr>
      <t xml:space="preserve">【可选】背景图左侧 </t>
    </r>
    <r>
      <rPr>
        <sz val="10"/>
        <rFont val="Arial"/>
        <charset val="1"/>
      </rPr>
      <t>Logo</t>
    </r>
    <r>
      <rPr>
        <sz val="10"/>
        <rFont val="Noto Sans CJK SC"/>
        <charset val="134"/>
      </rPr>
      <t>＋标语</t>
    </r>
  </si>
  <si>
    <t>ZAB
Transparent by Design.</t>
  </si>
  <si>
    <t>ZAB
Know What You Take.</t>
  </si>
  <si>
    <r>
      <rPr>
        <sz val="10"/>
        <rFont val="Arial"/>
        <charset val="1"/>
      </rPr>
      <t>ZAB</t>
    </r>
    <r>
      <rPr>
        <sz val="10"/>
        <rFont val="Noto Sans CJK SC"/>
        <charset val="134"/>
      </rPr>
      <t>｜透明，是设计出来的。</t>
    </r>
  </si>
  <si>
    <t>（无文字）</t>
  </si>
  <si>
    <r>
      <rPr>
        <sz val="10"/>
        <rFont val="Arial"/>
        <charset val="1"/>
      </rPr>
      <t>“Transparentbydesign”</t>
    </r>
    <r>
      <rPr>
        <sz val="10"/>
        <rFont val="Noto Sans CJK SC"/>
        <charset val="134"/>
      </rPr>
      <t>是店铺链接里的名字。确认它是品牌</t>
    </r>
    <r>
      <rPr>
        <sz val="10"/>
        <rFont val="Arial"/>
        <charset val="1"/>
      </rPr>
      <t>slogan</t>
    </r>
    <r>
      <rPr>
        <sz val="10"/>
        <rFont val="Noto Sans CJK SC"/>
        <charset val="134"/>
      </rPr>
      <t>后再用，不是的话就用备选。</t>
    </r>
  </si>
  <si>
    <t>BS-01</t>
  </si>
  <si>
    <r>
      <rPr>
        <sz val="10"/>
        <rFont val="Noto Sans CJK SC"/>
        <charset val="134"/>
      </rPr>
      <t>卡片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｜标题</t>
    </r>
  </si>
  <si>
    <t>Subscribe &amp; Save</t>
  </si>
  <si>
    <t>Subscribe and Save</t>
  </si>
  <si>
    <t>订阅省</t>
  </si>
  <si>
    <r>
      <rPr>
        <sz val="10"/>
        <rFont val="Noto Sans CJK SC"/>
        <charset val="134"/>
      </rPr>
      <t>不写折扣数字。上线前请先确认这个</t>
    </r>
    <r>
      <rPr>
        <sz val="10"/>
        <rFont val="Arial"/>
        <charset val="1"/>
      </rPr>
      <t>ASIN</t>
    </r>
    <r>
      <rPr>
        <sz val="10"/>
        <rFont val="Noto Sans CJK SC"/>
        <charset val="134"/>
      </rPr>
      <t>已经开通</t>
    </r>
    <r>
      <rPr>
        <sz val="10"/>
        <rFont val="Arial"/>
        <charset val="1"/>
      </rPr>
      <t>Subscribe &amp; Save</t>
    </r>
    <r>
      <rPr>
        <sz val="10"/>
        <rFont val="Noto Sans CJK SC"/>
        <charset val="134"/>
      </rPr>
      <t>。</t>
    </r>
  </si>
  <si>
    <t>BS-02</t>
  </si>
  <si>
    <r>
      <rPr>
        <sz val="10"/>
        <rFont val="Noto Sans CJK SC"/>
        <charset val="134"/>
      </rPr>
      <t>卡片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｜正文（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行）</t>
    </r>
  </si>
  <si>
    <t>Never run out. Get your
45-day supply on your schedule.</t>
  </si>
  <si>
    <t>Stay consistent with a
45-day supply, delivered.</t>
  </si>
  <si>
    <r>
      <rPr>
        <sz val="10"/>
        <rFont val="Noto Sans CJK SC"/>
        <charset val="134"/>
      </rPr>
      <t>不断货：按你的节奏收到</t>
    </r>
    <r>
      <rPr>
        <sz val="10"/>
        <rFont val="Arial"/>
        <charset val="1"/>
      </rPr>
      <t>45</t>
    </r>
    <r>
      <rPr>
        <sz val="10"/>
        <rFont val="Noto Sans CJK SC"/>
        <charset val="134"/>
      </rPr>
      <t>天用量。</t>
    </r>
  </si>
  <si>
    <t>Consistency is key for
lasting results.</t>
  </si>
  <si>
    <t>F02</t>
  </si>
  <si>
    <r>
      <rPr>
        <sz val="10"/>
        <rFont val="Noto Sans CJK SC"/>
        <charset val="134"/>
      </rPr>
      <t>原稿的“</t>
    </r>
    <r>
      <rPr>
        <sz val="10"/>
        <rFont val="Arial"/>
        <charset val="1"/>
      </rPr>
      <t>lasting results”</t>
    </r>
    <r>
      <rPr>
        <sz val="10"/>
        <rFont val="Noto Sans CJK SC"/>
        <charset val="134"/>
      </rPr>
      <t>暗示效果，已删掉。卡片里的</t>
    </r>
    <r>
      <rPr>
        <sz val="10"/>
        <rFont val="Arial"/>
        <charset val="1"/>
      </rPr>
      <t>OLENPHOGY</t>
    </r>
    <r>
      <rPr>
        <sz val="10"/>
        <rFont val="Noto Sans CJK SC"/>
        <charset val="134"/>
      </rPr>
      <t>产品合照要换成</t>
    </r>
    <r>
      <rPr>
        <sz val="10"/>
        <rFont val="Arial"/>
        <charset val="1"/>
      </rPr>
      <t>ZAB</t>
    </r>
    <r>
      <rPr>
        <sz val="10"/>
        <rFont val="Noto Sans CJK SC"/>
        <charset val="134"/>
      </rPr>
      <t>自家产品。</t>
    </r>
  </si>
  <si>
    <t>BS-03</t>
  </si>
  <si>
    <r>
      <rPr>
        <sz val="10"/>
        <rFont val="Noto Sans CJK SC"/>
        <charset val="134"/>
      </rPr>
      <t>卡片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｜跑步男士（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行：细＋粗）</t>
    </r>
  </si>
  <si>
    <t>Built for
**Active Days.**</t>
  </si>
  <si>
    <t>Keep Moving.
**Keep Going.**</t>
  </si>
  <si>
    <t>为活跃的日子而生。</t>
  </si>
  <si>
    <t>F14</t>
  </si>
  <si>
    <r>
      <rPr>
        <sz val="10"/>
        <rFont val="Noto Sans CJK SC"/>
        <charset val="134"/>
      </rPr>
      <t>去掉</t>
    </r>
    <r>
      <rPr>
        <sz val="10"/>
        <rFont val="Arial"/>
        <charset val="1"/>
      </rPr>
      <t>aging</t>
    </r>
    <r>
      <rPr>
        <sz val="10"/>
        <rFont val="Noto Sans CJK SC"/>
        <charset val="134"/>
      </rPr>
      <t>。不写功效，所以不需要星号。</t>
    </r>
  </si>
  <si>
    <t>BS-04</t>
  </si>
  <si>
    <r>
      <rPr>
        <sz val="10"/>
        <rFont val="Noto Sans CJK SC"/>
        <charset val="134"/>
      </rPr>
      <t>卡片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｜标题</t>
    </r>
  </si>
  <si>
    <t>Our Mission</t>
  </si>
  <si>
    <t>我们的使命</t>
  </si>
  <si>
    <t>保留。</t>
  </si>
  <si>
    <t>BS-05</t>
  </si>
  <si>
    <r>
      <rPr>
        <sz val="10"/>
        <rFont val="Noto Sans CJK SC"/>
        <charset val="134"/>
      </rPr>
      <t>卡片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｜正文（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行）</t>
    </r>
  </si>
  <si>
    <t>We built ZAB on one idea: you should know exactly what you're taking.</t>
  </si>
  <si>
    <t>We built ZAB on one idea: you should know exactly what you're taking. Clear doses, disclosed sources, nothing to decode.</t>
  </si>
  <si>
    <r>
      <rPr>
        <sz val="10"/>
        <rFont val="Noto Sans CJK SC"/>
        <charset val="134"/>
      </rPr>
      <t>我们创立</t>
    </r>
    <r>
      <rPr>
        <sz val="10"/>
        <rFont val="Arial"/>
        <charset val="1"/>
      </rPr>
      <t>ZAB</t>
    </r>
    <r>
      <rPr>
        <sz val="10"/>
        <rFont val="Noto Sans CJK SC"/>
        <charset val="134"/>
      </rPr>
      <t>只为一件事：让你清楚知道自己吃的是什么。</t>
    </r>
  </si>
  <si>
    <t>We started Olenphogy from a simple aspiration: to create something that genuinely works.</t>
  </si>
  <si>
    <t>F01, F10, F13</t>
  </si>
  <si>
    <t>【必改】去掉对标品牌名。如有真实的创立故事（创始人、年份、初衷），请提供，替换成真实内容。卡片空间够的话，可以用备选的长版。配图里的软糖熊和混合胶囊不代表本品，建议换成本品胶囊。</t>
  </si>
  <si>
    <t>BS-06</t>
  </si>
  <si>
    <r>
      <rPr>
        <sz val="10"/>
        <rFont val="Noto Sans CJK SC"/>
        <charset val="134"/>
      </rPr>
      <t>品牌故事</t>
    </r>
    <r>
      <rPr>
        <sz val="10"/>
        <rFont val="Arial"/>
        <charset val="1"/>
      </rPr>
      <t>-2</t>
    </r>
  </si>
  <si>
    <r>
      <rPr>
        <sz val="10"/>
        <rFont val="Noto Sans CJK SC"/>
        <charset val="134"/>
      </rPr>
      <t>品牌轮播图</t>
    </r>
    <r>
      <rPr>
        <sz val="10"/>
        <rFont val="Arial"/>
        <charset val="1"/>
      </rPr>
      <t>-2.png</t>
    </r>
  </si>
  <si>
    <r>
      <rPr>
        <sz val="10"/>
        <rFont val="Noto Sans CJK SC"/>
        <charset val="134"/>
      </rPr>
      <t>卡片</t>
    </r>
    <r>
      <rPr>
        <sz val="10"/>
        <rFont val="Arial"/>
        <charset val="1"/>
      </rPr>
      <t>4</t>
    </r>
    <r>
      <rPr>
        <sz val="10"/>
        <rFont val="Noto Sans CJK SC"/>
        <charset val="134"/>
      </rPr>
      <t>｜网球女性（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行：细＋粗）</t>
    </r>
  </si>
  <si>
    <t>For Men
**and Women.**</t>
  </si>
  <si>
    <t>One Routine.
**For Him &amp; Her.**</t>
  </si>
  <si>
    <t>男女皆宜。</t>
  </si>
  <si>
    <t>F07</t>
  </si>
  <si>
    <r>
      <rPr>
        <sz val="10"/>
        <rFont val="Noto Sans CJK SC"/>
        <charset val="134"/>
      </rPr>
      <t>去掉</t>
    </r>
    <r>
      <rPr>
        <sz val="10"/>
        <rFont val="Arial"/>
        <charset val="1"/>
      </rPr>
      <t>aging</t>
    </r>
    <r>
      <rPr>
        <sz val="10"/>
        <rFont val="Noto Sans CJK SC"/>
        <charset val="134"/>
      </rPr>
      <t>，改用</t>
    </r>
    <r>
      <rPr>
        <sz val="10"/>
        <rFont val="Arial"/>
        <charset val="1"/>
      </rPr>
      <t>listing</t>
    </r>
    <r>
      <rPr>
        <sz val="10"/>
        <rFont val="Noto Sans CJK SC"/>
        <charset val="134"/>
      </rPr>
      <t>写到的“男女适用”。</t>
    </r>
  </si>
  <si>
    <t>BS-07</t>
  </si>
  <si>
    <r>
      <rPr>
        <sz val="10"/>
        <rFont val="Noto Sans CJK SC"/>
        <charset val="134"/>
      </rPr>
      <t>卡片</t>
    </r>
    <r>
      <rPr>
        <sz val="10"/>
        <rFont val="Arial"/>
        <charset val="1"/>
      </rPr>
      <t>5</t>
    </r>
    <r>
      <rPr>
        <sz val="10"/>
        <rFont val="Noto Sans CJK SC"/>
        <charset val="134"/>
      </rPr>
      <t>｜手写体小标题</t>
    </r>
  </si>
  <si>
    <t>Wellness Tip</t>
  </si>
  <si>
    <t>Daily Tip</t>
  </si>
  <si>
    <t>健康小贴士</t>
  </si>
  <si>
    <t>Wellness Tips</t>
  </si>
  <si>
    <t>BS-08</t>
  </si>
  <si>
    <r>
      <rPr>
        <sz val="10"/>
        <rFont val="Noto Sans CJK SC"/>
        <charset val="134"/>
      </rPr>
      <t>卡片</t>
    </r>
    <r>
      <rPr>
        <sz val="10"/>
        <rFont val="Arial"/>
        <charset val="1"/>
      </rPr>
      <t>5</t>
    </r>
    <r>
      <rPr>
        <sz val="10"/>
        <rFont val="Noto Sans CJK SC"/>
        <charset val="134"/>
      </rPr>
      <t>｜大标题（衬线斜体）</t>
    </r>
  </si>
  <si>
    <t>Consistency is self-care.</t>
  </si>
  <si>
    <t>Routine is self-care.</t>
  </si>
  <si>
    <t>坚持，本身就是自我关照。</t>
  </si>
  <si>
    <t>Sleep is self-care.</t>
  </si>
  <si>
    <t>保留原稿的句式节奏。</t>
  </si>
  <si>
    <t>BS-09</t>
  </si>
  <si>
    <r>
      <rPr>
        <sz val="10"/>
        <rFont val="Noto Sans CJK SC"/>
        <charset val="134"/>
      </rPr>
      <t>卡片</t>
    </r>
    <r>
      <rPr>
        <sz val="10"/>
        <rFont val="Arial"/>
        <charset val="1"/>
      </rPr>
      <t>5</t>
    </r>
    <r>
      <rPr>
        <sz val="10"/>
        <rFont val="Noto Sans CJK SC"/>
        <charset val="134"/>
      </rPr>
      <t>｜小号大写副句</t>
    </r>
  </si>
  <si>
    <t>2 CAPSULES DAILY, WITH WATER.</t>
  </si>
  <si>
    <t>MAKE IT PART OF YOUR DAY.</t>
  </si>
  <si>
    <r>
      <rPr>
        <sz val="10"/>
        <rFont val="Noto Sans CJK SC"/>
        <charset val="134"/>
      </rPr>
      <t>每日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粒，温水送服。</t>
    </r>
  </si>
  <si>
    <t>WAKE UP FEELING LIKE IT.</t>
  </si>
  <si>
    <t>BS-10</t>
  </si>
  <si>
    <r>
      <rPr>
        <sz val="10"/>
        <rFont val="Noto Sans CJK SC"/>
        <charset val="134"/>
      </rPr>
      <t>卡片</t>
    </r>
    <r>
      <rPr>
        <sz val="10"/>
        <rFont val="Arial"/>
        <charset val="1"/>
      </rPr>
      <t>5</t>
    </r>
    <r>
      <rPr>
        <sz val="10"/>
        <rFont val="Noto Sans CJK SC"/>
        <charset val="134"/>
      </rPr>
      <t>｜按钮</t>
    </r>
  </si>
  <si>
    <t>START TODAY →</t>
  </si>
  <si>
    <t>BUILD THE HABIT →</t>
  </si>
  <si>
    <t>今天开始 →</t>
  </si>
  <si>
    <t>START TONIGHT →</t>
  </si>
  <si>
    <t>品牌故事卡片里的按钮只是装饰，点不了。</t>
  </si>
  <si>
    <t>BS-11</t>
  </si>
  <si>
    <r>
      <rPr>
        <sz val="10"/>
        <rFont val="Noto Sans CJK SC"/>
        <charset val="134"/>
      </rPr>
      <t>卡片</t>
    </r>
    <r>
      <rPr>
        <sz val="10"/>
        <rFont val="Arial"/>
        <charset val="1"/>
      </rPr>
      <t>5</t>
    </r>
    <r>
      <rPr>
        <sz val="10"/>
        <rFont val="Noto Sans CJK SC"/>
        <charset val="134"/>
      </rPr>
      <t>｜底部账号</t>
    </r>
  </si>
  <si>
    <t>（删除）</t>
  </si>
  <si>
    <r>
      <rPr>
        <sz val="10"/>
        <rFont val="Arial"/>
        <charset val="1"/>
      </rPr>
      <t>@[ZAB</t>
    </r>
    <r>
      <rPr>
        <sz val="10"/>
        <rFont val="Noto Sans CJK SC"/>
        <charset val="134"/>
      </rPr>
      <t>官方账号</t>
    </r>
    <r>
      <rPr>
        <sz val="10"/>
        <rFont val="Arial"/>
        <charset val="1"/>
      </rPr>
      <t>]</t>
    </r>
  </si>
  <si>
    <t>删除他牌账号</t>
  </si>
  <si>
    <t>@THELCCLINIC</t>
  </si>
  <si>
    <r>
      <rPr>
        <sz val="10"/>
        <rFont val="Noto Sans CJK SC"/>
        <charset val="134"/>
      </rPr>
      <t>【必改】这是别家品牌的账号。</t>
    </r>
    <r>
      <rPr>
        <sz val="10"/>
        <rFont val="Arial"/>
        <charset val="1"/>
      </rPr>
      <t>ZAB</t>
    </r>
    <r>
      <rPr>
        <sz val="10"/>
        <rFont val="Noto Sans CJK SC"/>
        <charset val="134"/>
      </rPr>
      <t>有官方社媒账号可以放上去，没有就删掉。</t>
    </r>
  </si>
  <si>
    <t>BS-12</t>
  </si>
  <si>
    <r>
      <rPr>
        <sz val="10"/>
        <rFont val="Noto Sans CJK SC"/>
        <charset val="134"/>
      </rPr>
      <t>卡片</t>
    </r>
    <r>
      <rPr>
        <sz val="10"/>
        <rFont val="Arial"/>
        <charset val="1"/>
      </rPr>
      <t>6</t>
    </r>
    <r>
      <rPr>
        <sz val="10"/>
        <rFont val="Noto Sans CJK SC"/>
        <charset val="134"/>
      </rPr>
      <t>｜实验室（大写大字＋小字）</t>
    </r>
  </si>
  <si>
    <t>QUALITY,
BATCH AFTER BATCH.
Made in a cGMP-certified facility</t>
  </si>
  <si>
    <t>cGMP QUALITY
Made with batch-to-batch quality control</t>
  </si>
  <si>
    <r>
      <rPr>
        <sz val="10"/>
        <rFont val="Noto Sans CJK SC"/>
        <charset val="134"/>
      </rPr>
      <t>每一批，都是同样的品质。</t>
    </r>
    <r>
      <rPr>
        <sz val="10"/>
        <rFont val="Arial"/>
        <charset val="1"/>
      </rPr>
      <t>cGMP</t>
    </r>
    <r>
      <rPr>
        <sz val="10"/>
        <rFont val="Noto Sans CJK SC"/>
        <charset val="134"/>
      </rPr>
      <t>认证工厂生产。</t>
    </r>
  </si>
  <si>
    <t>NEW ULTIMUNE
POWER INFUSING SERUM</t>
  </si>
  <si>
    <t>【必改】这是别家精华的占位图。图上的播放按钮请去掉：品牌故事模块不支持视频。</t>
  </si>
  <si>
    <t>ALT-1</t>
  </si>
  <si>
    <r>
      <rPr>
        <sz val="10"/>
        <rFont val="Arial"/>
        <charset val="1"/>
      </rPr>
      <t>Alt</t>
    </r>
    <r>
      <rPr>
        <sz val="10"/>
        <rFont val="Noto Sans CJK SC"/>
        <charset val="134"/>
      </rPr>
      <t>文本</t>
    </r>
  </si>
  <si>
    <r>
      <rPr>
        <sz val="10"/>
        <rFont val="Noto Sans CJK SC"/>
        <charset val="134"/>
      </rPr>
      <t>图片替代文本（≤</t>
    </r>
    <r>
      <rPr>
        <sz val="10"/>
        <rFont val="Arial"/>
        <charset val="1"/>
      </rPr>
      <t>100</t>
    </r>
    <r>
      <rPr>
        <sz val="10"/>
        <rFont val="Noto Sans CJK SC"/>
        <charset val="134"/>
      </rPr>
      <t>字符）</t>
    </r>
  </si>
  <si>
    <t>ZAB Urolithin A 700mg per serving from pomegranate peel extract, no gut conversion needed</t>
  </si>
  <si>
    <r>
      <rPr>
        <sz val="10"/>
        <rFont val="Arial"/>
        <charset val="1"/>
      </rPr>
      <t>Alt</t>
    </r>
    <r>
      <rPr>
        <sz val="10"/>
        <rFont val="Noto Sans CJK SC"/>
        <charset val="134"/>
      </rPr>
      <t>文本：</t>
    </r>
    <r>
      <rPr>
        <sz val="10"/>
        <rFont val="Arial"/>
        <charset val="1"/>
      </rPr>
      <t>A+</t>
    </r>
    <r>
      <rPr>
        <sz val="10"/>
        <rFont val="Noto Sans CJK SC"/>
        <charset val="134"/>
      </rPr>
      <t>图</t>
    </r>
    <r>
      <rPr>
        <sz val="10"/>
        <rFont val="Arial"/>
        <charset val="1"/>
      </rPr>
      <t>1</t>
    </r>
  </si>
  <si>
    <r>
      <rPr>
        <sz val="10"/>
        <rFont val="Noto Sans CJK SC"/>
        <charset val="134"/>
      </rPr>
      <t>在</t>
    </r>
    <r>
      <rPr>
        <sz val="10"/>
        <rFont val="Arial"/>
        <charset val="1"/>
      </rPr>
      <t>A+</t>
    </r>
    <r>
      <rPr>
        <sz val="10"/>
        <rFont val="Noto Sans CJK SC"/>
        <charset val="134"/>
      </rPr>
      <t>后台填到</t>
    </r>
    <r>
      <rPr>
        <sz val="10"/>
        <rFont val="Arial"/>
        <charset val="1"/>
      </rPr>
      <t>Image keywords</t>
    </r>
    <r>
      <rPr>
        <sz val="10"/>
        <rFont val="Noto Sans CJK SC"/>
        <charset val="134"/>
      </rPr>
      <t>里。不计入画面文字。</t>
    </r>
  </si>
  <si>
    <t>ALT-2</t>
  </si>
  <si>
    <t>ZAB Urolithin A capsules label checklist: 700mg per serving, disclosed source, 2 capsules daily</t>
  </si>
  <si>
    <r>
      <rPr>
        <sz val="10"/>
        <rFont val="Arial"/>
        <charset val="1"/>
      </rPr>
      <t>Alt</t>
    </r>
    <r>
      <rPr>
        <sz val="10"/>
        <rFont val="Noto Sans CJK SC"/>
        <charset val="134"/>
      </rPr>
      <t>文本：</t>
    </r>
    <r>
      <rPr>
        <sz val="10"/>
        <rFont val="Arial"/>
        <charset val="1"/>
      </rPr>
      <t>A+</t>
    </r>
    <r>
      <rPr>
        <sz val="10"/>
        <rFont val="Noto Sans CJK SC"/>
        <charset val="134"/>
      </rPr>
      <t>图</t>
    </r>
    <r>
      <rPr>
        <sz val="10"/>
        <rFont val="Arial"/>
        <charset val="1"/>
      </rPr>
      <t>2</t>
    </r>
  </si>
  <si>
    <t>F01, F06, F10</t>
  </si>
  <si>
    <t>ALT-3</t>
  </si>
  <si>
    <t>ZAB Urolithin A 700mg mitochondrial supplement for energy metabolism, for men and women</t>
  </si>
  <si>
    <r>
      <rPr>
        <sz val="10"/>
        <rFont val="Arial"/>
        <charset val="1"/>
      </rPr>
      <t>Alt</t>
    </r>
    <r>
      <rPr>
        <sz val="10"/>
        <rFont val="Noto Sans CJK SC"/>
        <charset val="134"/>
      </rPr>
      <t>文本：</t>
    </r>
    <r>
      <rPr>
        <sz val="10"/>
        <rFont val="Arial"/>
        <charset val="1"/>
      </rPr>
      <t>A+</t>
    </r>
    <r>
      <rPr>
        <sz val="10"/>
        <rFont val="Noto Sans CJK SC"/>
        <charset val="134"/>
      </rPr>
      <t>图</t>
    </r>
    <r>
      <rPr>
        <sz val="10"/>
        <rFont val="Arial"/>
        <charset val="1"/>
      </rPr>
      <t>3</t>
    </r>
  </si>
  <si>
    <t>F01, F07, F08</t>
  </si>
  <si>
    <t>ALT-4</t>
  </si>
  <si>
    <t>ZAB Urolithin A supplement facts: 700mg per 2 capsules, 45 servings, cGMP, non-GMO, gluten-free</t>
  </si>
  <si>
    <r>
      <rPr>
        <sz val="10"/>
        <rFont val="Arial"/>
        <charset val="1"/>
      </rPr>
      <t>Alt</t>
    </r>
    <r>
      <rPr>
        <sz val="10"/>
        <rFont val="Noto Sans CJK SC"/>
        <charset val="134"/>
      </rPr>
      <t>文本：</t>
    </r>
    <r>
      <rPr>
        <sz val="10"/>
        <rFont val="Arial"/>
        <charset val="1"/>
      </rPr>
      <t>A+</t>
    </r>
    <r>
      <rPr>
        <sz val="10"/>
        <rFont val="Noto Sans CJK SC"/>
        <charset val="134"/>
      </rPr>
      <t>图</t>
    </r>
    <r>
      <rPr>
        <sz val="10"/>
        <rFont val="Arial"/>
        <charset val="1"/>
      </rPr>
      <t>4</t>
    </r>
  </si>
  <si>
    <t>F01, F02, F05, F11</t>
  </si>
  <si>
    <t>#</t>
  </si>
  <si>
    <t>优先级</t>
  </si>
  <si>
    <t>位置</t>
  </si>
  <si>
    <t>问题</t>
  </si>
  <si>
    <t>建议处理</t>
  </si>
  <si>
    <t>状态</t>
  </si>
  <si>
    <t>必改</t>
  </si>
  <si>
    <r>
      <rPr>
        <sz val="10"/>
        <rFont val="Noto Sans CJK SC"/>
        <charset val="134"/>
      </rPr>
      <t>全部</t>
    </r>
    <r>
      <rPr>
        <sz val="10"/>
        <rFont val="Arial"/>
        <charset val="1"/>
      </rPr>
      <t>A+</t>
    </r>
    <r>
      <rPr>
        <sz val="10"/>
        <rFont val="Noto Sans CJK SC"/>
        <charset val="134"/>
      </rPr>
      <t>与品牌故事</t>
    </r>
  </si>
  <si>
    <r>
      <rPr>
        <sz val="10"/>
        <rFont val="Arial"/>
        <charset val="1"/>
      </rPr>
      <t>Logo</t>
    </r>
    <r>
      <rPr>
        <sz val="10"/>
        <rFont val="Noto Sans CJK SC"/>
        <charset val="134"/>
      </rPr>
      <t>写的是“</t>
    </r>
    <r>
      <rPr>
        <sz val="10"/>
        <rFont val="Arial"/>
        <charset val="1"/>
      </rPr>
      <t>ZABORATORY powered by ▬”</t>
    </r>
    <r>
      <rPr>
        <sz val="10"/>
        <rFont val="Noto Sans CJK SC"/>
        <charset val="134"/>
      </rPr>
      <t>，瓶身实际是“</t>
    </r>
    <r>
      <rPr>
        <sz val="10"/>
        <rFont val="Arial"/>
        <charset val="1"/>
      </rPr>
      <t>Zab”</t>
    </r>
  </si>
  <si>
    <r>
      <rPr>
        <sz val="10"/>
        <rFont val="Noto Sans CJK SC"/>
        <charset val="134"/>
      </rPr>
      <t>统一换成实际的</t>
    </r>
    <r>
      <rPr>
        <sz val="10"/>
        <rFont val="Arial"/>
        <charset val="1"/>
      </rPr>
      <t>ZAB/Zab Logo</t>
    </r>
    <r>
      <rPr>
        <sz val="10"/>
        <rFont val="Noto Sans CJK SC"/>
        <charset val="134"/>
      </rPr>
      <t>；去掉</t>
    </r>
    <r>
      <rPr>
        <sz val="10"/>
        <rFont val="Arial"/>
        <charset val="1"/>
      </rPr>
      <t>POWERED BY</t>
    </r>
    <r>
      <rPr>
        <sz val="10"/>
        <rFont val="Noto Sans CJK SC"/>
        <charset val="134"/>
      </rPr>
      <t>和红条占位</t>
    </r>
  </si>
  <si>
    <t>待处理</t>
  </si>
  <si>
    <r>
      <rPr>
        <sz val="10"/>
        <rFont val="Arial"/>
        <charset val="1"/>
      </rPr>
      <t>A+</t>
    </r>
    <r>
      <rPr>
        <sz val="10"/>
        <rFont val="Noto Sans CJK SC"/>
        <charset val="134"/>
      </rPr>
      <t>图</t>
    </r>
    <r>
      <rPr>
        <sz val="10"/>
        <rFont val="Arial"/>
        <charset val="1"/>
      </rPr>
      <t xml:space="preserve">1 </t>
    </r>
    <r>
      <rPr>
        <sz val="10"/>
        <rFont val="Noto Sans CJK SC"/>
        <charset val="134"/>
      </rPr>
      <t>右上产品瓶</t>
    </r>
  </si>
  <si>
    <r>
      <rPr>
        <sz val="10"/>
        <rFont val="Noto Sans CJK SC"/>
        <charset val="134"/>
      </rPr>
      <t>瓶身渲染是</t>
    </r>
    <r>
      <rPr>
        <sz val="10"/>
        <rFont val="Arial"/>
        <charset val="1"/>
      </rPr>
      <t>ZABORATORY</t>
    </r>
    <r>
      <rPr>
        <sz val="10"/>
        <rFont val="Noto Sans CJK SC"/>
        <charset val="134"/>
      </rPr>
      <t>，而且露出“</t>
    </r>
    <r>
      <rPr>
        <sz val="10"/>
        <rFont val="Arial"/>
        <charset val="1"/>
      </rPr>
      <t>1,00…”</t>
    </r>
    <r>
      <rPr>
        <sz val="10"/>
        <rFont val="Noto Sans CJK SC"/>
        <charset val="134"/>
      </rPr>
      <t>（</t>
    </r>
    <r>
      <rPr>
        <sz val="10"/>
        <rFont val="Arial"/>
        <charset val="1"/>
      </rPr>
      <t>1000mg</t>
    </r>
    <r>
      <rPr>
        <sz val="10"/>
        <rFont val="Noto Sans CJK SC"/>
        <charset val="134"/>
      </rPr>
      <t>款）</t>
    </r>
  </si>
  <si>
    <r>
      <rPr>
        <sz val="10"/>
        <rFont val="Noto Sans CJK SC"/>
        <charset val="134"/>
      </rPr>
      <t>换成本</t>
    </r>
    <r>
      <rPr>
        <sz val="10"/>
        <rFont val="Arial"/>
        <charset val="1"/>
      </rPr>
      <t>ASIN</t>
    </r>
    <r>
      <rPr>
        <sz val="10"/>
        <rFont val="Noto Sans CJK SC"/>
        <charset val="134"/>
      </rPr>
      <t>（</t>
    </r>
    <r>
      <rPr>
        <sz val="10"/>
        <rFont val="Arial"/>
        <charset val="1"/>
      </rPr>
      <t>700mg</t>
    </r>
    <r>
      <rPr>
        <sz val="10"/>
        <rFont val="Noto Sans CJK SC"/>
        <charset val="134"/>
      </rPr>
      <t>，</t>
    </r>
    <r>
      <rPr>
        <sz val="10"/>
        <rFont val="Arial"/>
        <charset val="1"/>
      </rPr>
      <t>90 Capsules</t>
    </r>
    <r>
      <rPr>
        <sz val="10"/>
        <rFont val="Noto Sans CJK SC"/>
        <charset val="134"/>
      </rPr>
      <t>）的真实瓶身图</t>
    </r>
  </si>
  <si>
    <r>
      <rPr>
        <sz val="10"/>
        <rFont val="Arial"/>
        <charset val="1"/>
      </rPr>
      <t>A+</t>
    </r>
    <r>
      <rPr>
        <sz val="10"/>
        <rFont val="Noto Sans CJK SC"/>
        <charset val="134"/>
      </rPr>
      <t>图</t>
    </r>
    <r>
      <rPr>
        <sz val="10"/>
        <rFont val="Arial"/>
        <charset val="1"/>
      </rPr>
      <t xml:space="preserve">3 </t>
    </r>
    <r>
      <rPr>
        <sz val="10"/>
        <rFont val="Noto Sans CJK SC"/>
        <charset val="134"/>
      </rPr>
      <t>顶部</t>
    </r>
  </si>
  <si>
    <r>
      <rPr>
        <sz val="10"/>
        <rFont val="Arial"/>
        <charset val="1"/>
      </rPr>
      <t>1,000mg</t>
    </r>
    <r>
      <rPr>
        <sz val="10"/>
        <rFont val="Noto Sans CJK SC"/>
        <charset val="134"/>
      </rPr>
      <t>与本品不符</t>
    </r>
  </si>
  <si>
    <r>
      <rPr>
        <sz val="10"/>
        <rFont val="Noto Sans CJK SC"/>
        <charset val="134"/>
      </rPr>
      <t>已在</t>
    </r>
    <r>
      <rPr>
        <sz val="10"/>
        <rFont val="Arial"/>
        <charset val="1"/>
      </rPr>
      <t>A3-01</t>
    </r>
    <r>
      <rPr>
        <sz val="10"/>
        <rFont val="Noto Sans CJK SC"/>
        <charset val="134"/>
      </rPr>
      <t>改成</t>
    </r>
    <r>
      <rPr>
        <sz val="10"/>
        <rFont val="Arial"/>
        <charset val="1"/>
      </rPr>
      <t>700mg per serving</t>
    </r>
  </si>
  <si>
    <r>
      <rPr>
        <sz val="10"/>
        <rFont val="Arial"/>
        <charset val="1"/>
      </rPr>
      <t>A+</t>
    </r>
    <r>
      <rPr>
        <sz val="10"/>
        <rFont val="Noto Sans CJK SC"/>
        <charset val="134"/>
      </rPr>
      <t>图</t>
    </r>
    <r>
      <rPr>
        <sz val="10"/>
        <rFont val="Arial"/>
        <charset val="1"/>
      </rPr>
      <t>4 Supplement Facts</t>
    </r>
  </si>
  <si>
    <r>
      <rPr>
        <sz val="10"/>
        <rFont val="Arial"/>
        <charset val="1"/>
      </rPr>
      <t>“Other Ingredients:”</t>
    </r>
    <r>
      <rPr>
        <sz val="10"/>
        <rFont val="Noto Sans CJK SC"/>
        <charset val="134"/>
      </rPr>
      <t>写了两遍；写的是</t>
    </r>
    <r>
      <rPr>
        <sz val="10"/>
        <rFont val="Arial"/>
        <charset val="1"/>
      </rPr>
      <t>Vegan Softgel</t>
    </r>
    <r>
      <rPr>
        <sz val="10"/>
        <rFont val="Noto Sans CJK SC"/>
        <charset val="134"/>
      </rPr>
      <t>，而</t>
    </r>
    <r>
      <rPr>
        <sz val="10"/>
        <rFont val="Arial"/>
        <charset val="1"/>
      </rPr>
      <t>listing</t>
    </r>
    <r>
      <rPr>
        <sz val="10"/>
        <rFont val="Noto Sans CJK SC"/>
        <charset val="134"/>
      </rPr>
      <t>是</t>
    </r>
    <r>
      <rPr>
        <sz val="10"/>
        <rFont val="Arial"/>
        <charset val="1"/>
      </rPr>
      <t>Capsules</t>
    </r>
    <r>
      <rPr>
        <sz val="10"/>
        <rFont val="Noto Sans CJK SC"/>
        <charset val="134"/>
      </rPr>
      <t>；没有列胭脂树（</t>
    </r>
    <r>
      <rPr>
        <sz val="10"/>
        <rFont val="Arial"/>
        <charset val="1"/>
      </rPr>
      <t>Annatto</t>
    </r>
    <r>
      <rPr>
        <sz val="10"/>
        <rFont val="Noto Sans CJK SC"/>
        <charset val="134"/>
      </rPr>
      <t>）着色</t>
    </r>
  </si>
  <si>
    <r>
      <rPr>
        <sz val="10"/>
        <rFont val="Noto Sans CJK SC"/>
        <charset val="134"/>
      </rPr>
      <t>按实物标签逐字重做这一格（见</t>
    </r>
    <r>
      <rPr>
        <sz val="10"/>
        <rFont val="Arial"/>
        <charset val="1"/>
      </rPr>
      <t>A4-06</t>
    </r>
    <r>
      <rPr>
        <sz val="10"/>
        <rFont val="Noto Sans CJK SC"/>
        <charset val="134"/>
      </rPr>
      <t>）</t>
    </r>
  </si>
  <si>
    <r>
      <rPr>
        <sz val="10"/>
        <rFont val="Arial"/>
        <charset val="1"/>
      </rPr>
      <t>A+</t>
    </r>
    <r>
      <rPr>
        <sz val="10"/>
        <rFont val="Noto Sans CJK SC"/>
        <charset val="134"/>
      </rPr>
      <t>图</t>
    </r>
    <r>
      <rPr>
        <sz val="10"/>
        <rFont val="Arial"/>
        <charset val="1"/>
      </rPr>
      <t xml:space="preserve">4 </t>
    </r>
    <r>
      <rPr>
        <sz val="10"/>
        <rFont val="Noto Sans CJK SC"/>
        <charset val="134"/>
      </rPr>
      <t>左侧手持图</t>
    </r>
  </si>
  <si>
    <r>
      <rPr>
        <sz val="10"/>
        <rFont val="Noto Sans CJK SC"/>
        <charset val="134"/>
      </rPr>
      <t>手里捏的是圆形软胶囊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片剂，与本品胶囊外形不符</t>
    </r>
  </si>
  <si>
    <r>
      <rPr>
        <sz val="10"/>
        <rFont val="Noto Sans CJK SC"/>
        <charset val="134"/>
      </rPr>
      <t>换成本品胶囊的手持图（图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、图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里的白色胶囊可以用）</t>
    </r>
  </si>
  <si>
    <r>
      <rPr>
        <sz val="10"/>
        <rFont val="Noto Sans CJK SC"/>
        <charset val="134"/>
      </rPr>
      <t>品牌故事卡片</t>
    </r>
    <r>
      <rPr>
        <sz val="10"/>
        <rFont val="Arial"/>
        <charset val="1"/>
      </rPr>
      <t>1</t>
    </r>
  </si>
  <si>
    <r>
      <rPr>
        <sz val="10"/>
        <rFont val="Noto Sans CJK SC"/>
        <charset val="134"/>
      </rPr>
      <t>产品合照是</t>
    </r>
    <r>
      <rPr>
        <sz val="10"/>
        <rFont val="Arial"/>
        <charset val="1"/>
      </rPr>
      <t>OLENPHOGY</t>
    </r>
    <r>
      <rPr>
        <sz val="10"/>
        <rFont val="Noto Sans CJK SC"/>
        <charset val="134"/>
      </rPr>
      <t>的</t>
    </r>
    <r>
      <rPr>
        <sz val="10"/>
        <rFont val="Arial"/>
        <charset val="1"/>
      </rPr>
      <t>4</t>
    </r>
    <r>
      <rPr>
        <sz val="10"/>
        <rFont val="Noto Sans CJK SC"/>
        <charset val="134"/>
      </rPr>
      <t>款产品</t>
    </r>
  </si>
  <si>
    <r>
      <rPr>
        <sz val="10"/>
        <rFont val="Noto Sans CJK SC"/>
        <charset val="134"/>
      </rPr>
      <t>换成</t>
    </r>
    <r>
      <rPr>
        <sz val="10"/>
        <rFont val="Arial"/>
        <charset val="1"/>
      </rPr>
      <t>ZAB</t>
    </r>
    <r>
      <rPr>
        <sz val="10"/>
        <rFont val="Noto Sans CJK SC"/>
        <charset val="134"/>
      </rPr>
      <t>自家产品图（可以用</t>
    </r>
    <r>
      <rPr>
        <sz val="10"/>
        <rFont val="Arial"/>
        <charset val="1"/>
      </rPr>
      <t>Urolithin A 700mg</t>
    </r>
    <r>
      <rPr>
        <sz val="10"/>
        <rFont val="Noto Sans CJK SC"/>
        <charset val="134"/>
      </rPr>
      <t>单瓶，或</t>
    </r>
    <r>
      <rPr>
        <sz val="10"/>
        <rFont val="Arial"/>
        <charset val="1"/>
      </rPr>
      <t>ZAB</t>
    </r>
    <r>
      <rPr>
        <sz val="10"/>
        <rFont val="Noto Sans CJK SC"/>
        <charset val="134"/>
      </rPr>
      <t>系列合照）</t>
    </r>
  </si>
  <si>
    <r>
      <rPr>
        <sz val="10"/>
        <rFont val="Noto Sans CJK SC"/>
        <charset val="134"/>
      </rPr>
      <t>品牌故事卡片</t>
    </r>
    <r>
      <rPr>
        <sz val="10"/>
        <rFont val="Arial"/>
        <charset val="1"/>
      </rPr>
      <t>3</t>
    </r>
  </si>
  <si>
    <t>配图里有软糖熊和混合药片，与本品不符</t>
  </si>
  <si>
    <t>换成本品胶囊或瓶身的静物图</t>
  </si>
  <si>
    <r>
      <rPr>
        <sz val="10"/>
        <rFont val="Noto Sans CJK SC"/>
        <charset val="134"/>
      </rPr>
      <t>品牌故事卡片</t>
    </r>
    <r>
      <rPr>
        <sz val="10"/>
        <rFont val="Arial"/>
        <charset val="1"/>
      </rPr>
      <t>5</t>
    </r>
  </si>
  <si>
    <r>
      <rPr>
        <sz val="10"/>
        <rFont val="Arial"/>
        <charset val="1"/>
      </rPr>
      <t>@THELCCLINIC</t>
    </r>
    <r>
      <rPr>
        <sz val="10"/>
        <rFont val="Noto Sans CJK SC"/>
        <charset val="134"/>
      </rPr>
      <t>是别家品牌账号</t>
    </r>
  </si>
  <si>
    <r>
      <rPr>
        <sz val="10"/>
        <rFont val="Noto Sans CJK SC"/>
        <charset val="134"/>
      </rPr>
      <t>删掉，或换成</t>
    </r>
    <r>
      <rPr>
        <sz val="10"/>
        <rFont val="Arial"/>
        <charset val="1"/>
      </rPr>
      <t>ZAB</t>
    </r>
    <r>
      <rPr>
        <sz val="10"/>
        <rFont val="Noto Sans CJK SC"/>
        <charset val="134"/>
      </rPr>
      <t>官方账号</t>
    </r>
  </si>
  <si>
    <r>
      <rPr>
        <sz val="10"/>
        <rFont val="Noto Sans CJK SC"/>
        <charset val="134"/>
      </rPr>
      <t>品牌故事卡片</t>
    </r>
    <r>
      <rPr>
        <sz val="10"/>
        <rFont val="Arial"/>
        <charset val="1"/>
      </rPr>
      <t>6</t>
    </r>
  </si>
  <si>
    <r>
      <rPr>
        <sz val="10"/>
        <rFont val="Arial"/>
        <charset val="1"/>
      </rPr>
      <t>ULTIMUNE</t>
    </r>
    <r>
      <rPr>
        <sz val="10"/>
        <rFont val="Noto Sans CJK SC"/>
        <charset val="134"/>
      </rPr>
      <t>精华是别家产品占位；图上有播放按钮</t>
    </r>
  </si>
  <si>
    <r>
      <rPr>
        <sz val="10"/>
        <rFont val="Noto Sans CJK SC"/>
        <charset val="134"/>
      </rPr>
      <t>换成</t>
    </r>
    <r>
      <rPr>
        <sz val="10"/>
        <rFont val="Arial"/>
        <charset val="1"/>
      </rPr>
      <t>ZAB</t>
    </r>
    <r>
      <rPr>
        <sz val="10"/>
        <rFont val="Noto Sans CJK SC"/>
        <charset val="134"/>
      </rPr>
      <t>的实验室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质检图；去掉播放按钮</t>
    </r>
  </si>
  <si>
    <t>建议</t>
  </si>
  <si>
    <r>
      <rPr>
        <sz val="10"/>
        <rFont val="Arial"/>
        <charset val="1"/>
      </rPr>
      <t>A+</t>
    </r>
    <r>
      <rPr>
        <sz val="10"/>
        <rFont val="Noto Sans CJK SC"/>
        <charset val="134"/>
      </rPr>
      <t>图</t>
    </r>
    <r>
      <rPr>
        <sz val="10"/>
        <rFont val="Arial"/>
        <charset val="1"/>
      </rPr>
      <t xml:space="preserve">2 </t>
    </r>
    <r>
      <rPr>
        <sz val="10"/>
        <rFont val="Noto Sans CJK SC"/>
        <charset val="134"/>
      </rPr>
      <t>表格</t>
    </r>
  </si>
  <si>
    <r>
      <rPr>
        <sz val="10"/>
        <rFont val="Noto Sans CJK SC"/>
        <charset val="134"/>
      </rPr>
      <t>左栏表头从</t>
    </r>
    <r>
      <rPr>
        <sz val="10"/>
        <rFont val="Arial"/>
        <charset val="1"/>
      </rPr>
      <t>OTHERS</t>
    </r>
    <r>
      <rPr>
        <sz val="10"/>
        <rFont val="Noto Sans CJK SC"/>
        <charset val="134"/>
      </rPr>
      <t>改成</t>
    </r>
    <r>
      <rPr>
        <sz val="10"/>
        <rFont val="Arial"/>
        <charset val="1"/>
      </rPr>
      <t>VAGUE LABELS</t>
    </r>
    <r>
      <rPr>
        <sz val="10"/>
        <rFont val="Noto Sans CJK SC"/>
        <charset val="134"/>
      </rPr>
      <t>后，灰色列的语气要保持中性</t>
    </r>
  </si>
  <si>
    <t>左栏保持灰色细字，不用红叉，避免被理解成贬低竞品</t>
  </si>
  <si>
    <r>
      <rPr>
        <sz val="10"/>
        <rFont val="Arial"/>
        <charset val="1"/>
      </rPr>
      <t>A+</t>
    </r>
    <r>
      <rPr>
        <sz val="10"/>
        <rFont val="Noto Sans CJK SC"/>
        <charset val="134"/>
      </rPr>
      <t>图</t>
    </r>
    <r>
      <rPr>
        <sz val="10"/>
        <rFont val="Arial"/>
        <charset val="1"/>
      </rPr>
      <t>2/</t>
    </r>
    <r>
      <rPr>
        <sz val="10"/>
        <rFont val="Noto Sans CJK SC"/>
        <charset val="134"/>
      </rPr>
      <t>图</t>
    </r>
    <r>
      <rPr>
        <sz val="10"/>
        <rFont val="Arial"/>
        <charset val="1"/>
      </rPr>
      <t xml:space="preserve">3 </t>
    </r>
    <r>
      <rPr>
        <sz val="10"/>
        <rFont val="Noto Sans CJK SC"/>
        <charset val="134"/>
      </rPr>
      <t>连图</t>
    </r>
  </si>
  <si>
    <r>
      <rPr>
        <sz val="10"/>
        <rFont val="Noto Sans CJK SC"/>
        <charset val="134"/>
      </rPr>
      <t>底部过渡标题和图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底部都写了“</t>
    </r>
    <r>
      <rPr>
        <sz val="10"/>
        <rFont val="Arial"/>
        <charset val="1"/>
      </rPr>
      <t>Feel Good from the Inside Out”</t>
    </r>
    <r>
      <rPr>
        <sz val="10"/>
        <rFont val="Noto Sans CJK SC"/>
        <charset val="134"/>
      </rPr>
      <t>（重复）</t>
    </r>
  </si>
  <si>
    <r>
      <rPr>
        <sz val="10"/>
        <rFont val="Noto Sans CJK SC"/>
        <charset val="134"/>
      </rPr>
      <t>已拆成两句（</t>
    </r>
    <r>
      <rPr>
        <sz val="10"/>
        <rFont val="Arial"/>
        <charset val="1"/>
      </rPr>
      <t>A2-10 / A3-03</t>
    </r>
    <r>
      <rPr>
        <sz val="10"/>
        <rFont val="Noto Sans CJK SC"/>
        <charset val="134"/>
      </rPr>
      <t>），请分别排版</t>
    </r>
  </si>
  <si>
    <r>
      <rPr>
        <sz val="10"/>
        <rFont val="Arial"/>
        <charset val="1"/>
      </rPr>
      <t>A+</t>
    </r>
    <r>
      <rPr>
        <sz val="10"/>
        <rFont val="Noto Sans CJK SC"/>
        <charset val="134"/>
      </rPr>
      <t>图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、图</t>
    </r>
    <r>
      <rPr>
        <sz val="10"/>
        <rFont val="Arial"/>
        <charset val="1"/>
      </rPr>
      <t xml:space="preserve">4 </t>
    </r>
    <r>
      <rPr>
        <sz val="10"/>
        <rFont val="Noto Sans CJK SC"/>
        <charset val="134"/>
      </rPr>
      <t>底边</t>
    </r>
  </si>
  <si>
    <r>
      <rPr>
        <sz val="10"/>
        <rFont val="Arial"/>
        <charset val="1"/>
      </rPr>
      <t>FDA</t>
    </r>
    <r>
      <rPr>
        <sz val="10"/>
        <rFont val="Noto Sans CJK SC"/>
        <charset val="134"/>
      </rPr>
      <t>免责声明是新增的小字</t>
    </r>
  </si>
  <si>
    <t>放在底边安全区内；手机端缩放后仍要看得清</t>
  </si>
  <si>
    <t>确认</t>
  </si>
  <si>
    <t>品牌故事背景</t>
  </si>
  <si>
    <r>
      <rPr>
        <sz val="10"/>
        <rFont val="Arial"/>
        <charset val="1"/>
      </rPr>
      <t>“Transparent by Design.”</t>
    </r>
    <r>
      <rPr>
        <sz val="10"/>
        <rFont val="Noto Sans CJK SC"/>
        <charset val="134"/>
      </rPr>
      <t>是否作为品牌</t>
    </r>
    <r>
      <rPr>
        <sz val="10"/>
        <rFont val="Arial"/>
        <charset val="1"/>
      </rPr>
      <t>slogan</t>
    </r>
  </si>
  <si>
    <t>确认后使用，否则用备选或不放文字</t>
  </si>
  <si>
    <r>
      <rPr>
        <sz val="10"/>
        <rFont val="Noto Sans CJK SC"/>
        <charset val="134"/>
      </rPr>
      <t>这个</t>
    </r>
    <r>
      <rPr>
        <sz val="10"/>
        <rFont val="Arial"/>
        <charset val="1"/>
      </rPr>
      <t>ASIN</t>
    </r>
    <r>
      <rPr>
        <sz val="10"/>
        <rFont val="Noto Sans CJK SC"/>
        <charset val="134"/>
      </rPr>
      <t>是否已开通</t>
    </r>
    <r>
      <rPr>
        <sz val="10"/>
        <rFont val="Arial"/>
        <charset val="1"/>
      </rPr>
      <t>Subscribe &amp; Save</t>
    </r>
  </si>
  <si>
    <r>
      <rPr>
        <sz val="10"/>
        <rFont val="Noto Sans CJK SC"/>
        <charset val="134"/>
      </rPr>
      <t>没开通的话，改为“</t>
    </r>
    <r>
      <rPr>
        <sz val="10"/>
        <rFont val="Arial"/>
        <charset val="1"/>
      </rPr>
      <t>Stay Consistent”</t>
    </r>
    <r>
      <rPr>
        <sz val="10"/>
        <rFont val="Noto Sans CJK SC"/>
        <charset val="134"/>
      </rPr>
      <t>之类不涉及订阅的标题</t>
    </r>
  </si>
  <si>
    <t>事实</t>
  </si>
  <si>
    <t>出处</t>
  </si>
  <si>
    <t>备注</t>
  </si>
  <si>
    <r>
      <rPr>
        <sz val="10"/>
        <rFont val="Noto Sans CJK SC"/>
        <charset val="134"/>
      </rPr>
      <t>每份（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粒）含</t>
    </r>
    <r>
      <rPr>
        <sz val="10"/>
        <rFont val="Arial"/>
        <charset val="1"/>
      </rPr>
      <t>Urolithin A 700mg</t>
    </r>
  </si>
  <si>
    <r>
      <rPr>
        <sz val="10"/>
        <rFont val="Arial"/>
        <charset val="1"/>
      </rPr>
      <t>Listing</t>
    </r>
    <r>
      <rPr>
        <sz val="10"/>
        <rFont val="Noto Sans CJK SC"/>
        <charset val="134"/>
      </rPr>
      <t>标题＋要点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；构图</t>
    </r>
    <r>
      <rPr>
        <sz val="10"/>
        <rFont val="Arial"/>
        <charset val="1"/>
      </rPr>
      <t>4 Supplement Facts</t>
    </r>
  </si>
  <si>
    <r>
      <rPr>
        <sz val="10"/>
        <rFont val="Noto Sans CJK SC"/>
        <charset val="134"/>
      </rPr>
      <t>所有“</t>
    </r>
    <r>
      <rPr>
        <sz val="10"/>
        <rFont val="Arial"/>
        <charset val="1"/>
      </rPr>
      <t>700mg”</t>
    </r>
    <r>
      <rPr>
        <sz val="10"/>
        <rFont val="Noto Sans CJK SC"/>
        <charset val="134"/>
      </rPr>
      <t>都要配上“</t>
    </r>
    <r>
      <rPr>
        <sz val="10"/>
        <rFont val="Arial"/>
        <charset val="1"/>
      </rPr>
      <t>per serving”</t>
    </r>
    <r>
      <rPr>
        <sz val="10"/>
        <rFont val="Noto Sans CJK SC"/>
        <charset val="134"/>
      </rPr>
      <t>或“</t>
    </r>
    <r>
      <rPr>
        <sz val="10"/>
        <rFont val="Arial"/>
        <charset val="1"/>
      </rPr>
      <t>per 2 capsules”</t>
    </r>
  </si>
  <si>
    <r>
      <rPr>
        <sz val="10"/>
        <rFont val="Arial"/>
        <charset val="1"/>
      </rPr>
      <t>90</t>
    </r>
    <r>
      <rPr>
        <sz val="10"/>
        <rFont val="Noto Sans CJK SC"/>
        <charset val="134"/>
      </rPr>
      <t>粒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瓶，每瓶</t>
    </r>
    <r>
      <rPr>
        <sz val="10"/>
        <rFont val="Arial"/>
        <charset val="1"/>
      </rPr>
      <t>45</t>
    </r>
    <r>
      <rPr>
        <sz val="10"/>
        <rFont val="Noto Sans CJK SC"/>
        <charset val="134"/>
      </rPr>
      <t>份，可用</t>
    </r>
    <r>
      <rPr>
        <sz val="10"/>
        <rFont val="Arial"/>
        <charset val="1"/>
      </rPr>
      <t>45</t>
    </r>
    <r>
      <rPr>
        <sz val="10"/>
        <rFont val="Noto Sans CJK SC"/>
        <charset val="134"/>
      </rPr>
      <t>天</t>
    </r>
  </si>
  <si>
    <r>
      <rPr>
        <sz val="10"/>
        <rFont val="Arial"/>
        <charset val="1"/>
      </rPr>
      <t>Listing</t>
    </r>
    <r>
      <rPr>
        <sz val="10"/>
        <rFont val="Noto Sans CJK SC"/>
        <charset val="134"/>
      </rPr>
      <t>标题＋要点</t>
    </r>
    <r>
      <rPr>
        <sz val="10"/>
        <rFont val="Arial"/>
        <charset val="1"/>
      </rPr>
      <t>1</t>
    </r>
  </si>
  <si>
    <r>
      <rPr>
        <sz val="10"/>
        <rFont val="Noto Sans CJK SC"/>
        <charset val="134"/>
      </rPr>
      <t>配方含</t>
    </r>
    <r>
      <rPr>
        <sz val="10"/>
        <rFont val="Arial"/>
        <charset val="1"/>
      </rPr>
      <t>MCT</t>
    </r>
    <r>
      <rPr>
        <sz val="10"/>
        <rFont val="Noto Sans CJK SC"/>
        <charset val="134"/>
      </rPr>
      <t>油和（葵花）卵磷脂</t>
    </r>
  </si>
  <si>
    <r>
      <rPr>
        <sz val="10"/>
        <rFont val="Arial"/>
        <charset val="1"/>
      </rPr>
      <t>Listing</t>
    </r>
    <r>
      <rPr>
        <sz val="10"/>
        <rFont val="Noto Sans CJK SC"/>
        <charset val="134"/>
      </rPr>
      <t>要点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；构图</t>
    </r>
    <r>
      <rPr>
        <sz val="10"/>
        <rFont val="Arial"/>
        <charset val="1"/>
      </rPr>
      <t>4</t>
    </r>
    <r>
      <rPr>
        <sz val="10"/>
        <rFont val="Noto Sans CJK SC"/>
        <charset val="134"/>
      </rPr>
      <t>标签写的是</t>
    </r>
    <r>
      <rPr>
        <sz val="10"/>
        <rFont val="Arial"/>
        <charset val="1"/>
      </rPr>
      <t>Sunflower Lecithin</t>
    </r>
  </si>
  <si>
    <t>不写这两种成分有促进吸收的作用</t>
  </si>
  <si>
    <t>F04</t>
  </si>
  <si>
    <r>
      <rPr>
        <sz val="10"/>
        <rFont val="Noto Sans CJK SC"/>
        <charset val="134"/>
      </rPr>
      <t>含胭脂树（</t>
    </r>
    <r>
      <rPr>
        <sz val="10"/>
        <rFont val="Arial"/>
        <charset val="1"/>
      </rPr>
      <t>Annatto</t>
    </r>
    <r>
      <rPr>
        <sz val="10"/>
        <rFont val="Noto Sans CJK SC"/>
        <charset val="134"/>
      </rPr>
      <t>）天然着色，无人工添加</t>
    </r>
  </si>
  <si>
    <r>
      <rPr>
        <sz val="10"/>
        <rFont val="Arial"/>
        <charset val="1"/>
      </rPr>
      <t>Listing</t>
    </r>
    <r>
      <rPr>
        <sz val="10"/>
        <rFont val="Noto Sans CJK SC"/>
        <charset val="134"/>
      </rPr>
      <t>要点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、要点</t>
    </r>
    <r>
      <rPr>
        <sz val="10"/>
        <rFont val="Arial"/>
        <charset val="1"/>
      </rPr>
      <t>5</t>
    </r>
  </si>
  <si>
    <r>
      <rPr>
        <sz val="10"/>
        <rFont val="Noto Sans CJK SC"/>
        <charset val="134"/>
      </rPr>
      <t>注意：标签的</t>
    </r>
    <r>
      <rPr>
        <sz val="10"/>
        <rFont val="Arial"/>
        <charset val="1"/>
      </rPr>
      <t>Other Ingredients</t>
    </r>
    <r>
      <rPr>
        <sz val="10"/>
        <rFont val="Noto Sans CJK SC"/>
        <charset val="134"/>
      </rPr>
      <t>里没有列出</t>
    </r>
  </si>
  <si>
    <r>
      <rPr>
        <sz val="10"/>
        <rFont val="Arial"/>
        <charset val="1"/>
      </rPr>
      <t>cGMP</t>
    </r>
    <r>
      <rPr>
        <sz val="10"/>
        <rFont val="Noto Sans CJK SC"/>
        <charset val="134"/>
      </rPr>
      <t>认证工厂生产，批次间品控一致</t>
    </r>
  </si>
  <si>
    <r>
      <rPr>
        <sz val="10"/>
        <rFont val="Arial"/>
        <charset val="1"/>
      </rPr>
      <t>Listing</t>
    </r>
    <r>
      <rPr>
        <sz val="10"/>
        <rFont val="Noto Sans CJK SC"/>
        <charset val="134"/>
      </rPr>
      <t>要点</t>
    </r>
    <r>
      <rPr>
        <sz val="10"/>
        <rFont val="Arial"/>
        <charset val="1"/>
      </rPr>
      <t>3</t>
    </r>
  </si>
  <si>
    <r>
      <rPr>
        <sz val="10"/>
        <rFont val="Noto Sans CJK SC"/>
        <charset val="134"/>
      </rPr>
      <t>成人每日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粒，用水送服</t>
    </r>
  </si>
  <si>
    <r>
      <rPr>
        <sz val="10"/>
        <rFont val="Arial"/>
        <charset val="1"/>
      </rPr>
      <t>Listing</t>
    </r>
    <r>
      <rPr>
        <sz val="10"/>
        <rFont val="Noto Sans CJK SC"/>
        <charset val="134"/>
      </rPr>
      <t>要点</t>
    </r>
    <r>
      <rPr>
        <sz val="10"/>
        <rFont val="Arial"/>
        <charset val="1"/>
      </rPr>
      <t>4</t>
    </r>
  </si>
  <si>
    <r>
      <rPr>
        <sz val="10"/>
        <rFont val="Arial"/>
        <charset val="1"/>
      </rPr>
      <t>listing</t>
    </r>
    <r>
      <rPr>
        <sz val="10"/>
        <rFont val="Noto Sans CJK SC"/>
        <charset val="134"/>
      </rPr>
      <t>没有规定服用时段</t>
    </r>
  </si>
  <si>
    <t>男女适用，适合各种生活方式</t>
  </si>
  <si>
    <r>
      <rPr>
        <sz val="10"/>
        <rFont val="Arial"/>
        <charset val="1"/>
      </rPr>
      <t>Listing</t>
    </r>
    <r>
      <rPr>
        <sz val="10"/>
        <rFont val="Noto Sans CJK SC"/>
        <charset val="134"/>
      </rPr>
      <t>标题、要点</t>
    </r>
    <r>
      <rPr>
        <sz val="10"/>
        <rFont val="Arial"/>
        <charset val="1"/>
      </rPr>
      <t>4</t>
    </r>
    <r>
      <rPr>
        <sz val="10"/>
        <rFont val="Noto Sans CJK SC"/>
        <charset val="134"/>
      </rPr>
      <t>、要点</t>
    </r>
    <r>
      <rPr>
        <sz val="10"/>
        <rFont val="Arial"/>
        <charset val="1"/>
      </rPr>
      <t>5</t>
    </r>
  </si>
  <si>
    <t>线粒体补充剂，支持能量代谢</t>
  </si>
  <si>
    <r>
      <rPr>
        <sz val="10"/>
        <rFont val="Arial"/>
        <charset val="1"/>
      </rPr>
      <t>Listing</t>
    </r>
    <r>
      <rPr>
        <sz val="10"/>
        <rFont val="Noto Sans CJK SC"/>
        <charset val="134"/>
      </rPr>
      <t>标题（</t>
    </r>
    <r>
      <rPr>
        <sz val="10"/>
        <rFont val="Arial"/>
        <charset val="1"/>
      </rPr>
      <t>Mitochondrial Supplement…supports energy metabolism</t>
    </r>
    <r>
      <rPr>
        <sz val="10"/>
        <rFont val="Noto Sans CJK SC"/>
        <charset val="134"/>
      </rPr>
      <t>）</t>
    </r>
  </si>
  <si>
    <r>
      <rPr>
        <sz val="10"/>
        <rFont val="Noto Sans CJK SC"/>
        <charset val="134"/>
      </rPr>
      <t>结构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功能宣称，要加</t>
    </r>
    <r>
      <rPr>
        <sz val="10"/>
        <rFont val="Arial"/>
        <charset val="1"/>
      </rPr>
      <t>*</t>
    </r>
    <r>
      <rPr>
        <sz val="10"/>
        <rFont val="Noto Sans CJK SC"/>
        <charset val="134"/>
      </rPr>
      <t>并配</t>
    </r>
    <r>
      <rPr>
        <sz val="10"/>
        <rFont val="Arial"/>
        <charset val="1"/>
      </rPr>
      <t>FDA</t>
    </r>
    <r>
      <rPr>
        <sz val="10"/>
        <rFont val="Noto Sans CJK SC"/>
        <charset val="134"/>
      </rPr>
      <t>免责声明</t>
    </r>
  </si>
  <si>
    <t>F09</t>
  </si>
  <si>
    <r>
      <rPr>
        <sz val="10"/>
        <rFont val="Noto Sans CJK SC"/>
        <charset val="134"/>
      </rPr>
      <t>纯素（</t>
    </r>
    <r>
      <rPr>
        <sz val="10"/>
        <rFont val="Arial"/>
        <charset val="1"/>
      </rPr>
      <t>Vegan</t>
    </r>
    <r>
      <rPr>
        <sz val="10"/>
        <rFont val="Noto Sans CJK SC"/>
        <charset val="134"/>
      </rPr>
      <t>）</t>
    </r>
  </si>
  <si>
    <r>
      <rPr>
        <sz val="10"/>
        <rFont val="Arial"/>
        <charset val="1"/>
      </rPr>
      <t>Listing</t>
    </r>
    <r>
      <rPr>
        <sz val="10"/>
        <rFont val="Noto Sans CJK SC"/>
        <charset val="134"/>
      </rPr>
      <t>标题；要点</t>
    </r>
    <r>
      <rPr>
        <sz val="10"/>
        <rFont val="Arial"/>
        <charset val="1"/>
      </rPr>
      <t>5</t>
    </r>
    <r>
      <rPr>
        <sz val="10"/>
        <rFont val="Noto Sans CJK SC"/>
        <charset val="134"/>
      </rPr>
      <t>（植物胶囊）</t>
    </r>
  </si>
  <si>
    <r>
      <rPr>
        <sz val="10"/>
        <rFont val="Arial"/>
        <charset val="1"/>
      </rPr>
      <t>Urolithin A</t>
    </r>
    <r>
      <rPr>
        <sz val="10"/>
        <rFont val="Noto Sans CJK SC"/>
        <charset val="134"/>
      </rPr>
      <t>来自石榴皮提取物（</t>
    </r>
    <r>
      <rPr>
        <sz val="10"/>
        <rFont val="Arial"/>
        <charset val="1"/>
      </rPr>
      <t>Punica granatum Peel Extract</t>
    </r>
    <r>
      <rPr>
        <sz val="10"/>
        <rFont val="Noto Sans CJK SC"/>
        <charset val="134"/>
      </rPr>
      <t>）</t>
    </r>
  </si>
  <si>
    <r>
      <rPr>
        <sz val="10"/>
        <rFont val="Noto Sans CJK SC"/>
        <charset val="134"/>
      </rPr>
      <t>构图</t>
    </r>
    <r>
      <rPr>
        <sz val="10"/>
        <rFont val="Arial"/>
        <charset val="1"/>
      </rPr>
      <t>4 Supplement Facts</t>
    </r>
    <r>
      <rPr>
        <sz val="10"/>
        <rFont val="Noto Sans CJK SC"/>
        <charset val="134"/>
      </rPr>
      <t>（用户设计稿）</t>
    </r>
  </si>
  <si>
    <r>
      <rPr>
        <sz val="10"/>
        <rFont val="Arial"/>
        <charset val="1"/>
      </rPr>
      <t>listing</t>
    </r>
    <r>
      <rPr>
        <sz val="10"/>
        <rFont val="Noto Sans CJK SC"/>
        <charset val="134"/>
      </rPr>
      <t>要点里没写，要以实物标签为准</t>
    </r>
  </si>
  <si>
    <r>
      <rPr>
        <sz val="10"/>
        <rFont val="Arial"/>
        <charset val="1"/>
      </rPr>
      <t>Gluten-Free</t>
    </r>
    <r>
      <rPr>
        <sz val="10"/>
        <rFont val="Noto Sans CJK SC"/>
        <charset val="134"/>
      </rPr>
      <t>、</t>
    </r>
    <r>
      <rPr>
        <sz val="10"/>
        <rFont val="Arial"/>
        <charset val="1"/>
      </rPr>
      <t>Non-GMO</t>
    </r>
    <r>
      <rPr>
        <sz val="10"/>
        <rFont val="Noto Sans CJK SC"/>
        <charset val="134"/>
      </rPr>
      <t>、</t>
    </r>
    <r>
      <rPr>
        <sz val="10"/>
        <rFont val="Arial"/>
        <charset val="1"/>
      </rPr>
      <t>American Owned QC</t>
    </r>
    <r>
      <rPr>
        <sz val="10"/>
        <rFont val="Noto Sans CJK SC"/>
        <charset val="134"/>
      </rPr>
      <t>、</t>
    </r>
    <r>
      <rPr>
        <sz val="10"/>
        <rFont val="Arial"/>
        <charset val="1"/>
      </rPr>
      <t>Formulated in the US with imported ingredients</t>
    </r>
  </si>
  <si>
    <r>
      <rPr>
        <sz val="10"/>
        <rFont val="Noto Sans CJK SC"/>
        <charset val="134"/>
      </rPr>
      <t>用户于</t>
    </r>
    <r>
      <rPr>
        <sz val="10"/>
        <rFont val="Arial"/>
        <charset val="1"/>
      </rPr>
      <t>2026-09-28</t>
    </r>
    <r>
      <rPr>
        <sz val="10"/>
        <rFont val="Noto Sans CJK SC"/>
        <charset val="134"/>
      </rPr>
      <t>确认有依据</t>
    </r>
  </si>
  <si>
    <r>
      <rPr>
        <sz val="10"/>
        <rFont val="Arial"/>
        <charset val="1"/>
      </rPr>
      <t>listing</t>
    </r>
    <r>
      <rPr>
        <sz val="10"/>
        <rFont val="Noto Sans CJK SC"/>
        <charset val="134"/>
      </rPr>
      <t>没写；请保存好对应的证明文件，以备平台审核</t>
    </r>
  </si>
  <si>
    <r>
      <rPr>
        <sz val="10"/>
        <rFont val="Noto Sans CJK SC"/>
        <charset val="134"/>
      </rPr>
      <t>尿石素</t>
    </r>
    <r>
      <rPr>
        <sz val="10"/>
        <rFont val="Arial"/>
        <charset val="1"/>
      </rPr>
      <t>A</t>
    </r>
    <r>
      <rPr>
        <sz val="10"/>
        <rFont val="Noto Sans CJK SC"/>
        <charset val="134"/>
      </rPr>
      <t>由肠道菌群代谢鞣花单宁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鞣花酸产生（常见于石榴、核桃、浆果），不同人的产生能力差异很大</t>
    </r>
  </si>
  <si>
    <r>
      <rPr>
        <sz val="10"/>
        <rFont val="Noto Sans CJK SC"/>
        <charset val="134"/>
      </rPr>
      <t>通用科学背景，非</t>
    </r>
    <r>
      <rPr>
        <sz val="10"/>
        <rFont val="Arial"/>
        <charset val="1"/>
      </rPr>
      <t>listing</t>
    </r>
    <r>
      <rPr>
        <sz val="10"/>
        <rFont val="Noto Sans CJK SC"/>
        <charset val="134"/>
      </rPr>
      <t>。可参考关于</t>
    </r>
    <r>
      <rPr>
        <sz val="10"/>
        <rFont val="Arial"/>
        <charset val="1"/>
      </rPr>
      <t>urolithin metabotypes</t>
    </r>
    <r>
      <rPr>
        <sz val="10"/>
        <rFont val="Noto Sans CJK SC"/>
        <charset val="134"/>
      </rPr>
      <t xml:space="preserve">的研究，如 </t>
    </r>
    <r>
      <rPr>
        <sz val="10"/>
        <rFont val="Arial"/>
        <charset val="1"/>
      </rPr>
      <t xml:space="preserve">Tomás-Barberán FA </t>
    </r>
    <r>
      <rPr>
        <sz val="10"/>
        <rFont val="Noto Sans CJK SC"/>
        <charset val="134"/>
      </rPr>
      <t>等，</t>
    </r>
    <r>
      <rPr>
        <sz val="10"/>
        <rFont val="Arial"/>
        <charset val="1"/>
      </rPr>
      <t>Mol Nutr Food Res</t>
    </r>
    <r>
      <rPr>
        <sz val="10"/>
        <rFont val="Noto Sans CJK SC"/>
        <charset val="134"/>
      </rPr>
      <t>（</t>
    </r>
    <r>
      <rPr>
        <sz val="10"/>
        <rFont val="Arial"/>
        <charset val="1"/>
      </rPr>
      <t>2014, 2017</t>
    </r>
    <r>
      <rPr>
        <sz val="10"/>
        <rFont val="Noto Sans CJK SC"/>
        <charset val="134"/>
      </rPr>
      <t>）</t>
    </r>
  </si>
  <si>
    <r>
      <rPr>
        <sz val="10"/>
        <rFont val="Noto Sans CJK SC"/>
        <charset val="134"/>
      </rPr>
      <t>图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选的科普角度。文案只写“因人而异”，不引用比例；上线前请自行核对文献原文</t>
    </r>
  </si>
  <si>
    <r>
      <rPr>
        <sz val="10"/>
        <rFont val="Noto Sans CJK SC"/>
        <charset val="134"/>
      </rPr>
      <t>品牌名</t>
    </r>
    <r>
      <rPr>
        <sz val="10"/>
        <rFont val="Arial"/>
        <charset val="1"/>
      </rPr>
      <t>ZAB</t>
    </r>
    <r>
      <rPr>
        <sz val="10"/>
        <rFont val="Noto Sans CJK SC"/>
        <charset val="134"/>
      </rPr>
      <t>；店铺链接名</t>
    </r>
    <r>
      <rPr>
        <sz val="10"/>
        <rFont val="Arial"/>
        <charset val="1"/>
      </rPr>
      <t>Transparentbydesign</t>
    </r>
  </si>
  <si>
    <r>
      <rPr>
        <sz val="10"/>
        <rFont val="Arial"/>
        <charset val="1"/>
      </rPr>
      <t>Listing</t>
    </r>
    <r>
      <rPr>
        <sz val="10"/>
        <rFont val="Noto Sans CJK SC"/>
        <charset val="134"/>
      </rPr>
      <t>品牌字段、店铺链接</t>
    </r>
  </si>
  <si>
    <r>
      <rPr>
        <sz val="10"/>
        <rFont val="Arial"/>
        <charset val="1"/>
      </rPr>
      <t>slogan</t>
    </r>
    <r>
      <rPr>
        <sz val="10"/>
        <rFont val="Noto Sans CJK SC"/>
        <charset val="134"/>
      </rPr>
      <t>需要确认</t>
    </r>
  </si>
  <si>
    <t>为多样的生活方式和日常健康设计</t>
  </si>
  <si>
    <r>
      <rPr>
        <sz val="10"/>
        <rFont val="Arial"/>
        <charset val="1"/>
      </rPr>
      <t>Listing</t>
    </r>
    <r>
      <rPr>
        <sz val="10"/>
        <rFont val="Noto Sans CJK SC"/>
        <charset val="134"/>
      </rPr>
      <t>要点</t>
    </r>
    <r>
      <rPr>
        <sz val="10"/>
        <rFont val="Arial"/>
        <charset val="1"/>
      </rPr>
      <t>5</t>
    </r>
  </si>
  <si>
    <t>生活方式描述，不涉及功效</t>
  </si>
  <si>
    <t>注</t>
  </si>
  <si>
    <r>
      <rPr>
        <sz val="10"/>
        <rFont val="Noto Sans CJK SC"/>
        <charset val="134"/>
      </rPr>
      <t>英文</t>
    </r>
    <r>
      <rPr>
        <sz val="10"/>
        <rFont val="Arial"/>
        <charset val="1"/>
      </rPr>
      <t>listing</t>
    </r>
    <r>
      <rPr>
        <sz val="10"/>
        <rFont val="Noto Sans CJK SC"/>
        <charset val="134"/>
      </rPr>
      <t>原文没能直接抓取（页面被本地化成中文），以上事实是从中文页面回译的。上线前请用英文后台的</t>
    </r>
    <r>
      <rPr>
        <sz val="10"/>
        <rFont val="Arial"/>
        <charset val="1"/>
      </rPr>
      <t>listing</t>
    </r>
    <r>
      <rPr>
        <sz val="10"/>
        <rFont val="Noto Sans CJK SC"/>
        <charset val="134"/>
      </rPr>
      <t>核对措辞。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</si>
</sst>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Calibri"/>
      <charset val="1"/>
    </font>
    <font>
      <b/>
      <sz val="10"/>
      <color rgb="FFFFFFFF"/>
      <name val="Noto Sans CJK SC"/>
      <charset val="134"/>
    </font>
    <font>
      <sz val="10"/>
      <name val="Arial"/>
      <charset val="1"/>
    </font>
    <font>
      <sz val="10"/>
      <name val="Noto Sans CJK SC"/>
      <charset val="134"/>
    </font>
    <font>
      <b/>
      <sz val="10"/>
      <color rgb="FFFFFFFF"/>
      <name val="Arial"/>
      <charset val="1"/>
    </font>
    <font>
      <b/>
      <sz val="10"/>
      <color rgb="FFC00000"/>
      <name val="Arial"/>
      <charset val="1"/>
    </font>
    <font>
      <sz val="9"/>
      <color rgb="FF808080"/>
      <name val="Arial"/>
      <charset val="1"/>
    </font>
    <font>
      <sz val="9"/>
      <color rgb="FF808080"/>
      <name val="Noto Sans CJK SC"/>
      <charset val="134"/>
    </font>
    <font>
      <b/>
      <sz val="10"/>
      <color rgb="FFC00000"/>
      <name val="Noto Sans CJK SC"/>
      <charset val="134"/>
    </font>
    <font>
      <b/>
      <sz val="14"/>
      <name val="Arial"/>
      <charset val="1"/>
    </font>
    <font>
      <b/>
      <sz val="11"/>
      <name val="Noto Sans CJK SC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name val="Arial"/>
      <charset val="1"/>
    </font>
    <font>
      <b/>
      <sz val="14"/>
      <name val="Noto Sans CJK SC"/>
      <charset val="134"/>
    </font>
  </fonts>
  <fills count="42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F8D7DA"/>
        <bgColor rgb="FFFFF3CD"/>
      </patternFill>
    </fill>
    <fill>
      <patternFill patternType="solid">
        <fgColor rgb="FFFFF3CD"/>
        <bgColor rgb="FFFBF7EE"/>
      </patternFill>
    </fill>
    <fill>
      <patternFill patternType="solid">
        <fgColor rgb="FFD9E7F7"/>
        <bgColor rgb="FFF3F3F3"/>
      </patternFill>
    </fill>
    <fill>
      <patternFill patternType="solid">
        <fgColor rgb="FFFDF2F2"/>
        <bgColor rgb="FFFBF7EE"/>
      </patternFill>
    </fill>
    <fill>
      <patternFill patternType="solid">
        <fgColor rgb="FFF2F6FC"/>
        <bgColor rgb="FFF3F3F3"/>
      </patternFill>
    </fill>
    <fill>
      <patternFill patternType="solid">
        <fgColor rgb="FFF4F9F1"/>
        <bgColor rgb="FFFBF7EE"/>
      </patternFill>
    </fill>
    <fill>
      <patternFill patternType="solid">
        <fgColor rgb="FFFBF7EE"/>
        <bgColor rgb="FFFDF2F2"/>
      </patternFill>
    </fill>
    <fill>
      <patternFill patternType="solid">
        <fgColor rgb="FFF3F3F3"/>
        <bgColor rgb="FFF2F6F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Border="0" applyAlignment="0" applyProtection="0"/>
    <xf numFmtId="44" fontId="11" fillId="0" borderId="0" applyBorder="0" applyAlignment="0" applyProtection="0"/>
    <xf numFmtId="9" fontId="11" fillId="0" borderId="0" applyBorder="0" applyAlignment="0" applyProtection="0"/>
    <xf numFmtId="41" fontId="11" fillId="0" borderId="0" applyBorder="0" applyAlignment="0" applyProtection="0"/>
    <xf numFmtId="42" fontId="11" fillId="0" borderId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6" applyNumberFormat="0" applyAlignment="0" applyProtection="0">
      <alignment vertical="center"/>
    </xf>
    <xf numFmtId="0" fontId="23" fillId="13" borderId="5" applyNumberFormat="0" applyAlignment="0" applyProtection="0">
      <alignment vertical="center"/>
    </xf>
    <xf numFmtId="0" fontId="24" fillId="14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6" fillId="9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6" fillId="10" borderId="1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3CD"/>
      <rgbColor rgb="00D9E7F7"/>
      <rgbColor rgb="00660066"/>
      <rgbColor rgb="00FF8080"/>
      <rgbColor rgb="000066CC"/>
      <rgbColor rgb="00F3F3F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6FC"/>
      <rgbColor rgb="00F4F9F1"/>
      <rgbColor rgb="00FBF7EE"/>
      <rgbColor rgb="00FDF2F2"/>
      <rgbColor rgb="00FF99CC"/>
      <rgbColor rgb="00CC99FF"/>
      <rgbColor rgb="00F8D7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workbookViewId="0">
      <selection activeCell="A1" sqref="A1"/>
    </sheetView>
  </sheetViews>
  <sheetFormatPr defaultColWidth="8.6796875" defaultRowHeight="16.8"/>
  <cols>
    <col min="1" max="1" width="120" customWidth="1"/>
  </cols>
  <sheetData>
    <row r="1" ht="21" spans="1:1">
      <c r="A1" s="34" t="s">
        <v>0</v>
      </c>
    </row>
    <row r="2" spans="1:1">
      <c r="A2" s="35" t="s">
        <v>1</v>
      </c>
    </row>
    <row r="3" spans="1:1">
      <c r="A3" s="35"/>
    </row>
    <row r="4" ht="17" spans="1:1">
      <c r="A4" s="36" t="s">
        <v>2</v>
      </c>
    </row>
    <row r="5" spans="1:1">
      <c r="A5" s="35" t="s">
        <v>3</v>
      </c>
    </row>
    <row r="6" spans="1:1">
      <c r="A6" s="35" t="s">
        <v>4</v>
      </c>
    </row>
    <row r="7" spans="1:1">
      <c r="A7" s="35" t="s">
        <v>5</v>
      </c>
    </row>
    <row r="8" spans="1:1">
      <c r="A8" s="35" t="s">
        <v>6</v>
      </c>
    </row>
    <row r="9" spans="1:1">
      <c r="A9" s="35" t="s">
        <v>7</v>
      </c>
    </row>
    <row r="10" spans="1:1">
      <c r="A10" s="35"/>
    </row>
    <row r="11" ht="17" spans="1:1">
      <c r="A11" s="36" t="s">
        <v>8</v>
      </c>
    </row>
    <row r="12" spans="1:1">
      <c r="A12" s="37" t="s">
        <v>9</v>
      </c>
    </row>
    <row r="13" spans="1:1">
      <c r="A13" s="35"/>
    </row>
    <row r="14" ht="17" spans="1:1">
      <c r="A14" s="36" t="s">
        <v>10</v>
      </c>
    </row>
    <row r="15" ht="31" spans="1:1">
      <c r="A15" s="37" t="s">
        <v>11</v>
      </c>
    </row>
    <row r="16" spans="1:1">
      <c r="A16" s="35"/>
    </row>
    <row r="17" ht="17" spans="1:1">
      <c r="A17" s="36" t="s">
        <v>12</v>
      </c>
    </row>
    <row r="18" spans="1:1">
      <c r="A18" s="37" t="s">
        <v>13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7"/>
  <sheetViews>
    <sheetView tabSelected="1" workbookViewId="0">
      <pane xSplit="4" ySplit="1" topLeftCell="E2" activePane="bottomRight" state="frozen"/>
      <selection/>
      <selection pane="topRight"/>
      <selection pane="bottomLeft"/>
      <selection pane="bottomRight" activeCell="A1" sqref="A1"/>
    </sheetView>
  </sheetViews>
  <sheetFormatPr defaultColWidth="8.6796875" defaultRowHeight="16.8"/>
  <cols>
    <col min="1" max="1" width="8" customWidth="1"/>
    <col min="2" max="2" width="10" customWidth="1"/>
    <col min="3" max="3" width="16" customWidth="1"/>
    <col min="4" max="4" width="24" customWidth="1"/>
    <col min="5" max="5" width="44" customWidth="1"/>
    <col min="6" max="6" width="34" customWidth="1"/>
    <col min="7" max="7" width="28" customWidth="1"/>
    <col min="8" max="9" width="9" customWidth="1"/>
    <col min="10" max="10" width="7" customWidth="1"/>
    <col min="11" max="11" width="34" customWidth="1"/>
    <col min="12" max="12" width="12" customWidth="1"/>
    <col min="13" max="13" width="52" customWidth="1"/>
  </cols>
  <sheetData>
    <row r="1" ht="30" customHeight="1" spans="1:13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8" t="s">
        <v>23</v>
      </c>
      <c r="K1" s="8" t="s">
        <v>24</v>
      </c>
      <c r="L1" s="8" t="s">
        <v>25</v>
      </c>
      <c r="M1" s="8" t="s">
        <v>26</v>
      </c>
    </row>
    <row r="2" ht="31" spans="1:13">
      <c r="A2" s="9" t="s">
        <v>27</v>
      </c>
      <c r="B2" s="9" t="s">
        <v>28</v>
      </c>
      <c r="C2" s="9" t="s">
        <v>29</v>
      </c>
      <c r="D2" s="10" t="s">
        <v>30</v>
      </c>
      <c r="E2" s="11" t="s">
        <v>31</v>
      </c>
      <c r="F2" s="9" t="s">
        <v>32</v>
      </c>
      <c r="G2" s="10" t="s">
        <v>33</v>
      </c>
      <c r="H2" s="9">
        <f t="shared" ref="H2:H57" si="0">LEN(E2)</f>
        <v>41</v>
      </c>
      <c r="I2" s="9">
        <f t="shared" ref="I2:I57" si="1">IF(OR(K2="—",LEFT(K2,1)="（"),"",LEN(K2))</f>
        <v>51</v>
      </c>
      <c r="J2" s="9">
        <f t="shared" ref="J2:J57" si="2">IF(I2="","",H2-I2)</f>
        <v>-10</v>
      </c>
      <c r="K2" s="12" t="s">
        <v>34</v>
      </c>
      <c r="L2" s="9" t="s">
        <v>35</v>
      </c>
      <c r="M2" s="10" t="s">
        <v>36</v>
      </c>
    </row>
    <row r="3" ht="31" spans="1:13">
      <c r="A3" s="9" t="s">
        <v>37</v>
      </c>
      <c r="B3" s="9" t="s">
        <v>28</v>
      </c>
      <c r="C3" s="9" t="s">
        <v>29</v>
      </c>
      <c r="D3" s="10" t="s">
        <v>38</v>
      </c>
      <c r="E3" s="11" t="s">
        <v>39</v>
      </c>
      <c r="F3" s="9" t="s">
        <v>40</v>
      </c>
      <c r="G3" s="10" t="s">
        <v>41</v>
      </c>
      <c r="H3" s="9">
        <f t="shared" si="0"/>
        <v>25</v>
      </c>
      <c r="I3" s="9">
        <f t="shared" si="1"/>
        <v>22</v>
      </c>
      <c r="J3" s="9">
        <f t="shared" si="2"/>
        <v>3</v>
      </c>
      <c r="K3" s="12" t="s">
        <v>42</v>
      </c>
      <c r="L3" s="9" t="s">
        <v>43</v>
      </c>
      <c r="M3" s="10" t="s">
        <v>44</v>
      </c>
    </row>
    <row r="4" ht="31" spans="1:13">
      <c r="A4" s="9" t="s">
        <v>45</v>
      </c>
      <c r="B4" s="9" t="s">
        <v>28</v>
      </c>
      <c r="C4" s="9" t="s">
        <v>29</v>
      </c>
      <c r="D4" s="10" t="s">
        <v>46</v>
      </c>
      <c r="E4" s="11" t="s">
        <v>47</v>
      </c>
      <c r="F4" s="9" t="s">
        <v>48</v>
      </c>
      <c r="G4" s="10" t="s">
        <v>49</v>
      </c>
      <c r="H4" s="9">
        <f t="shared" si="0"/>
        <v>52</v>
      </c>
      <c r="I4" s="9">
        <f t="shared" si="1"/>
        <v>41</v>
      </c>
      <c r="J4" s="9">
        <f t="shared" si="2"/>
        <v>11</v>
      </c>
      <c r="K4" s="12" t="s">
        <v>50</v>
      </c>
      <c r="L4" s="9" t="s">
        <v>51</v>
      </c>
      <c r="M4" s="10" t="s">
        <v>52</v>
      </c>
    </row>
    <row r="5" ht="46" spans="1:13">
      <c r="A5" s="9" t="s">
        <v>53</v>
      </c>
      <c r="B5" s="9" t="s">
        <v>28</v>
      </c>
      <c r="C5" s="9" t="s">
        <v>29</v>
      </c>
      <c r="D5" s="10" t="s">
        <v>54</v>
      </c>
      <c r="E5" s="11" t="s">
        <v>55</v>
      </c>
      <c r="F5" s="9" t="s">
        <v>56</v>
      </c>
      <c r="G5" s="10" t="s">
        <v>57</v>
      </c>
      <c r="H5" s="9">
        <f t="shared" si="0"/>
        <v>23</v>
      </c>
      <c r="I5" s="9">
        <f t="shared" si="1"/>
        <v>21</v>
      </c>
      <c r="J5" s="9">
        <f t="shared" si="2"/>
        <v>2</v>
      </c>
      <c r="K5" s="12" t="s">
        <v>58</v>
      </c>
      <c r="L5" s="9" t="s">
        <v>35</v>
      </c>
      <c r="M5" s="10" t="s">
        <v>59</v>
      </c>
    </row>
    <row r="6" spans="1:13">
      <c r="A6" s="9" t="s">
        <v>60</v>
      </c>
      <c r="B6" s="9" t="s">
        <v>28</v>
      </c>
      <c r="C6" s="9" t="s">
        <v>29</v>
      </c>
      <c r="D6" s="10" t="s">
        <v>61</v>
      </c>
      <c r="E6" s="11" t="s">
        <v>62</v>
      </c>
      <c r="F6" s="9" t="s">
        <v>63</v>
      </c>
      <c r="G6" s="10" t="s">
        <v>64</v>
      </c>
      <c r="H6" s="9">
        <f t="shared" si="0"/>
        <v>20</v>
      </c>
      <c r="I6" s="9">
        <f t="shared" si="1"/>
        <v>7</v>
      </c>
      <c r="J6" s="9">
        <f t="shared" si="2"/>
        <v>13</v>
      </c>
      <c r="K6" s="12" t="s">
        <v>65</v>
      </c>
      <c r="L6" s="9" t="s">
        <v>35</v>
      </c>
      <c r="M6" s="10" t="s">
        <v>66</v>
      </c>
    </row>
    <row r="7" ht="31" spans="1:13">
      <c r="A7" s="9" t="s">
        <v>67</v>
      </c>
      <c r="B7" s="9" t="s">
        <v>28</v>
      </c>
      <c r="C7" s="9" t="s">
        <v>29</v>
      </c>
      <c r="D7" s="10" t="s">
        <v>68</v>
      </c>
      <c r="E7" s="11" t="s">
        <v>69</v>
      </c>
      <c r="F7" s="9" t="s">
        <v>70</v>
      </c>
      <c r="G7" s="10" t="s">
        <v>71</v>
      </c>
      <c r="H7" s="9">
        <f t="shared" si="0"/>
        <v>23</v>
      </c>
      <c r="I7" s="9">
        <f t="shared" si="1"/>
        <v>7</v>
      </c>
      <c r="J7" s="9">
        <f t="shared" si="2"/>
        <v>16</v>
      </c>
      <c r="K7" s="12" t="s">
        <v>72</v>
      </c>
      <c r="L7" s="9" t="s">
        <v>35</v>
      </c>
      <c r="M7" s="10" t="s">
        <v>73</v>
      </c>
    </row>
    <row r="8" ht="31" spans="1:13">
      <c r="A8" s="9" t="s">
        <v>74</v>
      </c>
      <c r="B8" s="9" t="s">
        <v>28</v>
      </c>
      <c r="C8" s="9" t="s">
        <v>29</v>
      </c>
      <c r="D8" s="10" t="s">
        <v>75</v>
      </c>
      <c r="E8" s="11" t="s">
        <v>76</v>
      </c>
      <c r="F8" s="9" t="s">
        <v>77</v>
      </c>
      <c r="G8" s="10" t="s">
        <v>78</v>
      </c>
      <c r="H8" s="9">
        <f t="shared" si="0"/>
        <v>17</v>
      </c>
      <c r="I8" s="9">
        <f t="shared" si="1"/>
        <v>6</v>
      </c>
      <c r="J8" s="9">
        <f t="shared" si="2"/>
        <v>11</v>
      </c>
      <c r="K8" s="12" t="s">
        <v>79</v>
      </c>
      <c r="L8" s="9" t="s">
        <v>51</v>
      </c>
      <c r="M8" s="10" t="s">
        <v>80</v>
      </c>
    </row>
    <row r="9" spans="1:13">
      <c r="A9" s="9" t="s">
        <v>81</v>
      </c>
      <c r="B9" s="9" t="s">
        <v>28</v>
      </c>
      <c r="C9" s="9" t="s">
        <v>29</v>
      </c>
      <c r="D9" s="10" t="s">
        <v>82</v>
      </c>
      <c r="E9" s="11" t="s">
        <v>83</v>
      </c>
      <c r="F9" s="9" t="s">
        <v>84</v>
      </c>
      <c r="G9" s="10" t="s">
        <v>85</v>
      </c>
      <c r="H9" s="9">
        <f t="shared" si="0"/>
        <v>24</v>
      </c>
      <c r="I9" s="9">
        <f t="shared" si="1"/>
        <v>7</v>
      </c>
      <c r="J9" s="9">
        <f t="shared" si="2"/>
        <v>17</v>
      </c>
      <c r="K9" s="12" t="s">
        <v>86</v>
      </c>
      <c r="L9" s="9" t="s">
        <v>87</v>
      </c>
      <c r="M9" s="10" t="s">
        <v>88</v>
      </c>
    </row>
    <row r="10" spans="1:13">
      <c r="A10" s="9" t="s">
        <v>89</v>
      </c>
      <c r="B10" s="9" t="s">
        <v>28</v>
      </c>
      <c r="C10" s="9" t="s">
        <v>29</v>
      </c>
      <c r="D10" s="10" t="s">
        <v>90</v>
      </c>
      <c r="E10" s="11" t="s">
        <v>91</v>
      </c>
      <c r="F10" s="9" t="s">
        <v>92</v>
      </c>
      <c r="G10" s="10" t="s">
        <v>93</v>
      </c>
      <c r="H10" s="9">
        <f t="shared" si="0"/>
        <v>17</v>
      </c>
      <c r="I10" s="9">
        <f t="shared" si="1"/>
        <v>19</v>
      </c>
      <c r="J10" s="9">
        <f t="shared" si="2"/>
        <v>-2</v>
      </c>
      <c r="K10" s="12" t="s">
        <v>94</v>
      </c>
      <c r="L10" s="9" t="s">
        <v>95</v>
      </c>
      <c r="M10" s="10" t="s">
        <v>96</v>
      </c>
    </row>
    <row r="11" spans="1:13">
      <c r="A11" s="9" t="s">
        <v>97</v>
      </c>
      <c r="B11" s="9" t="s">
        <v>28</v>
      </c>
      <c r="C11" s="9" t="s">
        <v>29</v>
      </c>
      <c r="D11" s="10" t="s">
        <v>98</v>
      </c>
      <c r="E11" s="11" t="s">
        <v>99</v>
      </c>
      <c r="F11" s="9" t="s">
        <v>100</v>
      </c>
      <c r="G11" s="10" t="s">
        <v>101</v>
      </c>
      <c r="H11" s="9">
        <f t="shared" si="0"/>
        <v>18</v>
      </c>
      <c r="I11" s="9">
        <f t="shared" si="1"/>
        <v>12</v>
      </c>
      <c r="J11" s="9">
        <f t="shared" si="2"/>
        <v>6</v>
      </c>
      <c r="K11" s="12" t="s">
        <v>102</v>
      </c>
      <c r="L11" s="9" t="s">
        <v>95</v>
      </c>
      <c r="M11" s="10" t="s">
        <v>103</v>
      </c>
    </row>
    <row r="12" spans="1:13">
      <c r="A12" s="9" t="s">
        <v>104</v>
      </c>
      <c r="B12" s="9" t="s">
        <v>28</v>
      </c>
      <c r="C12" s="9" t="s">
        <v>29</v>
      </c>
      <c r="D12" s="10" t="s">
        <v>105</v>
      </c>
      <c r="E12" s="11" t="s">
        <v>106</v>
      </c>
      <c r="F12" s="9" t="s">
        <v>107</v>
      </c>
      <c r="G12" s="10" t="s">
        <v>108</v>
      </c>
      <c r="H12" s="9">
        <f t="shared" si="0"/>
        <v>16</v>
      </c>
      <c r="I12" s="9">
        <f t="shared" si="1"/>
        <v>15</v>
      </c>
      <c r="J12" s="9">
        <f t="shared" si="2"/>
        <v>1</v>
      </c>
      <c r="K12" s="12" t="s">
        <v>109</v>
      </c>
      <c r="L12" s="9" t="s">
        <v>110</v>
      </c>
      <c r="M12" s="9" t="s">
        <v>111</v>
      </c>
    </row>
    <row r="13" spans="1:13">
      <c r="A13" s="9" t="s">
        <v>112</v>
      </c>
      <c r="B13" s="9" t="s">
        <v>28</v>
      </c>
      <c r="C13" s="9" t="s">
        <v>29</v>
      </c>
      <c r="D13" s="10" t="s">
        <v>113</v>
      </c>
      <c r="E13" s="11" t="s">
        <v>114</v>
      </c>
      <c r="F13" s="9" t="s">
        <v>115</v>
      </c>
      <c r="G13" s="10" t="s">
        <v>116</v>
      </c>
      <c r="H13" s="9">
        <f t="shared" si="0"/>
        <v>32</v>
      </c>
      <c r="I13" s="9" t="str">
        <f t="shared" si="1"/>
        <v/>
      </c>
      <c r="J13" s="9" t="str">
        <f t="shared" si="2"/>
        <v/>
      </c>
      <c r="K13" s="13" t="s">
        <v>117</v>
      </c>
      <c r="L13" s="9" t="s">
        <v>35</v>
      </c>
      <c r="M13" s="10" t="s">
        <v>118</v>
      </c>
    </row>
    <row r="14" ht="31" spans="1:13">
      <c r="A14" s="14" t="s">
        <v>119</v>
      </c>
      <c r="B14" s="14" t="s">
        <v>120</v>
      </c>
      <c r="C14" s="14" t="s">
        <v>121</v>
      </c>
      <c r="D14" s="15" t="s">
        <v>122</v>
      </c>
      <c r="E14" s="16" t="s">
        <v>123</v>
      </c>
      <c r="F14" s="14" t="s">
        <v>124</v>
      </c>
      <c r="G14" s="15" t="s">
        <v>125</v>
      </c>
      <c r="H14" s="14">
        <f t="shared" si="0"/>
        <v>32</v>
      </c>
      <c r="I14" s="14">
        <f t="shared" si="1"/>
        <v>26</v>
      </c>
      <c r="J14" s="14">
        <f t="shared" si="2"/>
        <v>6</v>
      </c>
      <c r="K14" s="17" t="s">
        <v>126</v>
      </c>
      <c r="L14" s="14" t="s">
        <v>127</v>
      </c>
      <c r="M14" s="15" t="s">
        <v>128</v>
      </c>
    </row>
    <row r="15" ht="31" spans="1:13">
      <c r="A15" s="14" t="s">
        <v>129</v>
      </c>
      <c r="B15" s="14" t="s">
        <v>120</v>
      </c>
      <c r="C15" s="14" t="s">
        <v>121</v>
      </c>
      <c r="D15" s="15" t="s">
        <v>130</v>
      </c>
      <c r="E15" s="16" t="s">
        <v>131</v>
      </c>
      <c r="F15" s="14" t="s">
        <v>132</v>
      </c>
      <c r="G15" s="15" t="s">
        <v>133</v>
      </c>
      <c r="H15" s="14">
        <f t="shared" si="0"/>
        <v>12</v>
      </c>
      <c r="I15" s="14">
        <f t="shared" si="1"/>
        <v>6</v>
      </c>
      <c r="J15" s="14">
        <f t="shared" si="2"/>
        <v>6</v>
      </c>
      <c r="K15" s="17" t="s">
        <v>134</v>
      </c>
      <c r="L15" s="14" t="s">
        <v>135</v>
      </c>
      <c r="M15" s="15" t="s">
        <v>136</v>
      </c>
    </row>
    <row r="16" spans="1:13">
      <c r="A16" s="14" t="s">
        <v>137</v>
      </c>
      <c r="B16" s="14" t="s">
        <v>120</v>
      </c>
      <c r="C16" s="14" t="s">
        <v>121</v>
      </c>
      <c r="D16" s="15" t="s">
        <v>138</v>
      </c>
      <c r="E16" s="16" t="s">
        <v>139</v>
      </c>
      <c r="F16" s="14" t="s">
        <v>140</v>
      </c>
      <c r="G16" s="15" t="s">
        <v>141</v>
      </c>
      <c r="H16" s="14">
        <f t="shared" si="0"/>
        <v>22</v>
      </c>
      <c r="I16" s="14">
        <f t="shared" si="1"/>
        <v>23</v>
      </c>
      <c r="J16" s="14">
        <f t="shared" si="2"/>
        <v>-1</v>
      </c>
      <c r="K16" s="17" t="s">
        <v>142</v>
      </c>
      <c r="L16" s="14" t="s">
        <v>135</v>
      </c>
      <c r="M16" s="15" t="s">
        <v>143</v>
      </c>
    </row>
    <row r="17" spans="1:13">
      <c r="A17" s="14" t="s">
        <v>144</v>
      </c>
      <c r="B17" s="14" t="s">
        <v>120</v>
      </c>
      <c r="C17" s="14" t="s">
        <v>121</v>
      </c>
      <c r="D17" s="15" t="s">
        <v>145</v>
      </c>
      <c r="E17" s="16" t="s">
        <v>146</v>
      </c>
      <c r="F17" s="14" t="s">
        <v>147</v>
      </c>
      <c r="G17" s="15" t="s">
        <v>148</v>
      </c>
      <c r="H17" s="14">
        <f t="shared" si="0"/>
        <v>20</v>
      </c>
      <c r="I17" s="14">
        <f t="shared" si="1"/>
        <v>23</v>
      </c>
      <c r="J17" s="14">
        <f t="shared" si="2"/>
        <v>-3</v>
      </c>
      <c r="K17" s="17" t="s">
        <v>142</v>
      </c>
      <c r="L17" s="14" t="s">
        <v>135</v>
      </c>
      <c r="M17" s="15" t="s">
        <v>149</v>
      </c>
    </row>
    <row r="18" spans="1:13">
      <c r="A18" s="14" t="s">
        <v>150</v>
      </c>
      <c r="B18" s="14" t="s">
        <v>120</v>
      </c>
      <c r="C18" s="14" t="s">
        <v>121</v>
      </c>
      <c r="D18" s="15" t="s">
        <v>151</v>
      </c>
      <c r="E18" s="16" t="s">
        <v>152</v>
      </c>
      <c r="F18" s="14" t="s">
        <v>153</v>
      </c>
      <c r="G18" s="15" t="s">
        <v>154</v>
      </c>
      <c r="H18" s="14">
        <f t="shared" si="0"/>
        <v>21</v>
      </c>
      <c r="I18" s="14">
        <f t="shared" si="1"/>
        <v>23</v>
      </c>
      <c r="J18" s="14">
        <f t="shared" si="2"/>
        <v>-2</v>
      </c>
      <c r="K18" s="17" t="s">
        <v>142</v>
      </c>
      <c r="L18" s="14" t="s">
        <v>135</v>
      </c>
      <c r="M18" s="15" t="s">
        <v>155</v>
      </c>
    </row>
    <row r="19" ht="31" spans="1:13">
      <c r="A19" s="14" t="s">
        <v>156</v>
      </c>
      <c r="B19" s="14" t="s">
        <v>120</v>
      </c>
      <c r="C19" s="14" t="s">
        <v>121</v>
      </c>
      <c r="D19" s="15" t="s">
        <v>157</v>
      </c>
      <c r="E19" s="16" t="s">
        <v>158</v>
      </c>
      <c r="F19" s="14" t="s">
        <v>135</v>
      </c>
      <c r="G19" s="15" t="s">
        <v>159</v>
      </c>
      <c r="H19" s="14">
        <f t="shared" si="0"/>
        <v>3</v>
      </c>
      <c r="I19" s="14">
        <f t="shared" si="1"/>
        <v>23</v>
      </c>
      <c r="J19" s="14">
        <f t="shared" si="2"/>
        <v>-20</v>
      </c>
      <c r="K19" s="17" t="s">
        <v>160</v>
      </c>
      <c r="L19" s="14" t="s">
        <v>161</v>
      </c>
      <c r="M19" s="15" t="s">
        <v>162</v>
      </c>
    </row>
    <row r="20" spans="1:13">
      <c r="A20" s="14" t="s">
        <v>163</v>
      </c>
      <c r="B20" s="14" t="s">
        <v>120</v>
      </c>
      <c r="C20" s="14" t="s">
        <v>121</v>
      </c>
      <c r="D20" s="15" t="s">
        <v>164</v>
      </c>
      <c r="E20" s="16" t="s">
        <v>76</v>
      </c>
      <c r="F20" s="14" t="s">
        <v>165</v>
      </c>
      <c r="G20" s="15" t="s">
        <v>78</v>
      </c>
      <c r="H20" s="14">
        <f t="shared" si="0"/>
        <v>17</v>
      </c>
      <c r="I20" s="14">
        <f t="shared" si="1"/>
        <v>23</v>
      </c>
      <c r="J20" s="14">
        <f t="shared" si="2"/>
        <v>-6</v>
      </c>
      <c r="K20" s="17" t="s">
        <v>142</v>
      </c>
      <c r="L20" s="14" t="s">
        <v>51</v>
      </c>
      <c r="M20" s="14"/>
    </row>
    <row r="21" spans="1:13">
      <c r="A21" s="14" t="s">
        <v>166</v>
      </c>
      <c r="B21" s="14" t="s">
        <v>120</v>
      </c>
      <c r="C21" s="14" t="s">
        <v>121</v>
      </c>
      <c r="D21" s="15" t="s">
        <v>167</v>
      </c>
      <c r="E21" s="16" t="s">
        <v>83</v>
      </c>
      <c r="F21" s="14" t="s">
        <v>168</v>
      </c>
      <c r="G21" s="15" t="s">
        <v>85</v>
      </c>
      <c r="H21" s="14">
        <f t="shared" si="0"/>
        <v>24</v>
      </c>
      <c r="I21" s="14">
        <f t="shared" si="1"/>
        <v>22</v>
      </c>
      <c r="J21" s="14">
        <f t="shared" si="2"/>
        <v>2</v>
      </c>
      <c r="K21" s="17" t="s">
        <v>169</v>
      </c>
      <c r="L21" s="14" t="s">
        <v>87</v>
      </c>
      <c r="M21" s="14"/>
    </row>
    <row r="22" spans="1:13">
      <c r="A22" s="14" t="s">
        <v>170</v>
      </c>
      <c r="B22" s="14" t="s">
        <v>120</v>
      </c>
      <c r="C22" s="14" t="s">
        <v>121</v>
      </c>
      <c r="D22" s="15" t="s">
        <v>171</v>
      </c>
      <c r="E22" s="16" t="s">
        <v>172</v>
      </c>
      <c r="F22" s="14" t="s">
        <v>173</v>
      </c>
      <c r="G22" s="15" t="s">
        <v>174</v>
      </c>
      <c r="H22" s="14">
        <f t="shared" si="0"/>
        <v>21</v>
      </c>
      <c r="I22" s="14">
        <f t="shared" si="1"/>
        <v>22</v>
      </c>
      <c r="J22" s="14">
        <f t="shared" si="2"/>
        <v>-1</v>
      </c>
      <c r="K22" s="17" t="s">
        <v>175</v>
      </c>
      <c r="L22" s="14" t="s">
        <v>110</v>
      </c>
      <c r="M22" s="14"/>
    </row>
    <row r="23" ht="46" spans="1:13">
      <c r="A23" s="14" t="s">
        <v>176</v>
      </c>
      <c r="B23" s="14" t="s">
        <v>120</v>
      </c>
      <c r="C23" s="14" t="s">
        <v>121</v>
      </c>
      <c r="D23" s="15" t="s">
        <v>177</v>
      </c>
      <c r="E23" s="16" t="s">
        <v>178</v>
      </c>
      <c r="F23" s="14" t="s">
        <v>179</v>
      </c>
      <c r="G23" s="15" t="s">
        <v>180</v>
      </c>
      <c r="H23" s="14">
        <f t="shared" si="0"/>
        <v>46</v>
      </c>
      <c r="I23" s="14">
        <f t="shared" si="1"/>
        <v>31</v>
      </c>
      <c r="J23" s="14">
        <f t="shared" si="2"/>
        <v>15</v>
      </c>
      <c r="K23" s="17" t="s">
        <v>181</v>
      </c>
      <c r="L23" s="14" t="s">
        <v>182</v>
      </c>
      <c r="M23" s="15" t="s">
        <v>183</v>
      </c>
    </row>
    <row r="24" ht="46" spans="1:13">
      <c r="A24" s="14" t="s">
        <v>184</v>
      </c>
      <c r="B24" s="14" t="s">
        <v>185</v>
      </c>
      <c r="C24" s="14" t="s">
        <v>186</v>
      </c>
      <c r="D24" s="15" t="s">
        <v>187</v>
      </c>
      <c r="E24" s="16" t="s">
        <v>188</v>
      </c>
      <c r="F24" s="14" t="s">
        <v>189</v>
      </c>
      <c r="G24" s="15" t="s">
        <v>190</v>
      </c>
      <c r="H24" s="14">
        <f t="shared" si="0"/>
        <v>90</v>
      </c>
      <c r="I24" s="14">
        <f t="shared" si="1"/>
        <v>64</v>
      </c>
      <c r="J24" s="14">
        <f t="shared" si="2"/>
        <v>26</v>
      </c>
      <c r="K24" s="17" t="s">
        <v>191</v>
      </c>
      <c r="L24" s="14" t="s">
        <v>192</v>
      </c>
      <c r="M24" s="15" t="s">
        <v>193</v>
      </c>
    </row>
    <row r="25" spans="1:13">
      <c r="A25" s="14" t="s">
        <v>194</v>
      </c>
      <c r="B25" s="14" t="s">
        <v>185</v>
      </c>
      <c r="C25" s="14" t="s">
        <v>186</v>
      </c>
      <c r="D25" s="14" t="s">
        <v>195</v>
      </c>
      <c r="E25" s="16" t="s">
        <v>158</v>
      </c>
      <c r="F25" s="14" t="s">
        <v>135</v>
      </c>
      <c r="G25" s="15" t="s">
        <v>159</v>
      </c>
      <c r="H25" s="14">
        <f t="shared" si="0"/>
        <v>3</v>
      </c>
      <c r="I25" s="14">
        <f t="shared" si="1"/>
        <v>23</v>
      </c>
      <c r="J25" s="14">
        <f t="shared" si="2"/>
        <v>-20</v>
      </c>
      <c r="K25" s="17" t="s">
        <v>160</v>
      </c>
      <c r="L25" s="14" t="s">
        <v>161</v>
      </c>
      <c r="M25" s="15" t="s">
        <v>196</v>
      </c>
    </row>
    <row r="26" ht="31" spans="1:13">
      <c r="A26" s="14" t="s">
        <v>197</v>
      </c>
      <c r="B26" s="14" t="s">
        <v>185</v>
      </c>
      <c r="C26" s="14" t="s">
        <v>186</v>
      </c>
      <c r="D26" s="15" t="s">
        <v>198</v>
      </c>
      <c r="E26" s="16" t="s">
        <v>199</v>
      </c>
      <c r="F26" s="14" t="s">
        <v>200</v>
      </c>
      <c r="G26" s="15" t="s">
        <v>201</v>
      </c>
      <c r="H26" s="14">
        <f t="shared" si="0"/>
        <v>28</v>
      </c>
      <c r="I26" s="14">
        <f t="shared" si="1"/>
        <v>31</v>
      </c>
      <c r="J26" s="14">
        <f t="shared" si="2"/>
        <v>-3</v>
      </c>
      <c r="K26" s="17" t="s">
        <v>181</v>
      </c>
      <c r="L26" s="14" t="s">
        <v>202</v>
      </c>
      <c r="M26" s="15" t="s">
        <v>203</v>
      </c>
    </row>
    <row r="27" ht="46" spans="1:13">
      <c r="A27" s="14" t="s">
        <v>204</v>
      </c>
      <c r="B27" s="14" t="s">
        <v>185</v>
      </c>
      <c r="C27" s="14" t="s">
        <v>186</v>
      </c>
      <c r="D27" s="15" t="s">
        <v>205</v>
      </c>
      <c r="E27" s="16" t="s">
        <v>206</v>
      </c>
      <c r="F27" s="14" t="s">
        <v>135</v>
      </c>
      <c r="G27" s="14" t="s">
        <v>207</v>
      </c>
      <c r="H27" s="14">
        <f t="shared" si="0"/>
        <v>157</v>
      </c>
      <c r="I27" s="14" t="str">
        <f t="shared" si="1"/>
        <v/>
      </c>
      <c r="J27" s="14" t="str">
        <f t="shared" si="2"/>
        <v/>
      </c>
      <c r="K27" s="18" t="s">
        <v>117</v>
      </c>
      <c r="L27" s="14" t="s">
        <v>135</v>
      </c>
      <c r="M27" s="15" t="s">
        <v>208</v>
      </c>
    </row>
    <row r="28" ht="31" spans="1:13">
      <c r="A28" s="19" t="s">
        <v>209</v>
      </c>
      <c r="B28" s="19" t="s">
        <v>210</v>
      </c>
      <c r="C28" s="19" t="s">
        <v>211</v>
      </c>
      <c r="D28" s="20" t="s">
        <v>212</v>
      </c>
      <c r="E28" s="21" t="s">
        <v>213</v>
      </c>
      <c r="F28" s="19" t="s">
        <v>214</v>
      </c>
      <c r="G28" s="20" t="s">
        <v>215</v>
      </c>
      <c r="H28" s="19">
        <f t="shared" si="0"/>
        <v>31</v>
      </c>
      <c r="I28" s="19">
        <f t="shared" si="1"/>
        <v>29</v>
      </c>
      <c r="J28" s="19">
        <f t="shared" si="2"/>
        <v>2</v>
      </c>
      <c r="K28" s="22" t="s">
        <v>216</v>
      </c>
      <c r="L28" s="19" t="s">
        <v>182</v>
      </c>
      <c r="M28" s="20" t="s">
        <v>217</v>
      </c>
    </row>
    <row r="29" spans="1:13">
      <c r="A29" s="19" t="s">
        <v>218</v>
      </c>
      <c r="B29" s="19" t="s">
        <v>210</v>
      </c>
      <c r="C29" s="19" t="s">
        <v>211</v>
      </c>
      <c r="D29" s="20" t="s">
        <v>219</v>
      </c>
      <c r="E29" s="21" t="s">
        <v>220</v>
      </c>
      <c r="F29" s="19" t="s">
        <v>221</v>
      </c>
      <c r="G29" s="20" t="s">
        <v>222</v>
      </c>
      <c r="H29" s="19">
        <f t="shared" si="0"/>
        <v>17</v>
      </c>
      <c r="I29" s="19">
        <f t="shared" si="1"/>
        <v>17</v>
      </c>
      <c r="J29" s="19">
        <f t="shared" si="2"/>
        <v>0</v>
      </c>
      <c r="K29" s="22" t="s">
        <v>220</v>
      </c>
      <c r="L29" s="19" t="s">
        <v>127</v>
      </c>
      <c r="M29" s="20" t="s">
        <v>223</v>
      </c>
    </row>
    <row r="30" ht="31" spans="1:13">
      <c r="A30" s="19" t="s">
        <v>224</v>
      </c>
      <c r="B30" s="19" t="s">
        <v>210</v>
      </c>
      <c r="C30" s="19" t="s">
        <v>211</v>
      </c>
      <c r="D30" s="20" t="s">
        <v>225</v>
      </c>
      <c r="E30" s="21" t="s">
        <v>226</v>
      </c>
      <c r="F30" s="19" t="s">
        <v>227</v>
      </c>
      <c r="G30" s="20" t="s">
        <v>228</v>
      </c>
      <c r="H30" s="19">
        <f t="shared" si="0"/>
        <v>53</v>
      </c>
      <c r="I30" s="19">
        <f t="shared" si="1"/>
        <v>46</v>
      </c>
      <c r="J30" s="19">
        <f t="shared" si="2"/>
        <v>7</v>
      </c>
      <c r="K30" s="22" t="s">
        <v>229</v>
      </c>
      <c r="L30" s="19" t="s">
        <v>51</v>
      </c>
      <c r="M30" s="20" t="s">
        <v>230</v>
      </c>
    </row>
    <row r="31" ht="31" spans="1:13">
      <c r="A31" s="19" t="s">
        <v>231</v>
      </c>
      <c r="B31" s="19" t="s">
        <v>210</v>
      </c>
      <c r="C31" s="19" t="s">
        <v>211</v>
      </c>
      <c r="D31" s="19" t="s">
        <v>232</v>
      </c>
      <c r="E31" s="21" t="s">
        <v>233</v>
      </c>
      <c r="F31" s="19" t="s">
        <v>135</v>
      </c>
      <c r="G31" s="20" t="s">
        <v>234</v>
      </c>
      <c r="H31" s="19">
        <f t="shared" si="0"/>
        <v>66</v>
      </c>
      <c r="I31" s="19">
        <f t="shared" si="1"/>
        <v>66</v>
      </c>
      <c r="J31" s="19">
        <f t="shared" si="2"/>
        <v>0</v>
      </c>
      <c r="K31" s="22" t="s">
        <v>233</v>
      </c>
      <c r="L31" s="19" t="s">
        <v>235</v>
      </c>
      <c r="M31" s="20" t="s">
        <v>236</v>
      </c>
    </row>
    <row r="32" ht="28" spans="1:13">
      <c r="A32" s="19" t="s">
        <v>237</v>
      </c>
      <c r="B32" s="19" t="s">
        <v>210</v>
      </c>
      <c r="C32" s="19" t="s">
        <v>211</v>
      </c>
      <c r="D32" s="19" t="s">
        <v>238</v>
      </c>
      <c r="E32" s="21" t="s">
        <v>239</v>
      </c>
      <c r="F32" s="19" t="s">
        <v>135</v>
      </c>
      <c r="G32" s="20" t="s">
        <v>240</v>
      </c>
      <c r="H32" s="19">
        <f t="shared" si="0"/>
        <v>56</v>
      </c>
      <c r="I32" s="19">
        <f t="shared" si="1"/>
        <v>56</v>
      </c>
      <c r="J32" s="19">
        <f t="shared" si="2"/>
        <v>0</v>
      </c>
      <c r="K32" s="22" t="s">
        <v>241</v>
      </c>
      <c r="L32" s="19" t="s">
        <v>127</v>
      </c>
      <c r="M32" s="20" t="s">
        <v>242</v>
      </c>
    </row>
    <row r="33" ht="61" spans="1:13">
      <c r="A33" s="19" t="s">
        <v>243</v>
      </c>
      <c r="B33" s="19" t="s">
        <v>210</v>
      </c>
      <c r="C33" s="19" t="s">
        <v>211</v>
      </c>
      <c r="D33" s="19" t="s">
        <v>244</v>
      </c>
      <c r="E33" s="21" t="s">
        <v>245</v>
      </c>
      <c r="F33" s="19" t="s">
        <v>135</v>
      </c>
      <c r="G33" s="20" t="s">
        <v>246</v>
      </c>
      <c r="H33" s="19">
        <f t="shared" si="0"/>
        <v>120</v>
      </c>
      <c r="I33" s="19">
        <f t="shared" si="1"/>
        <v>108</v>
      </c>
      <c r="J33" s="19">
        <f t="shared" si="2"/>
        <v>12</v>
      </c>
      <c r="K33" s="22" t="s">
        <v>247</v>
      </c>
      <c r="L33" s="19" t="s">
        <v>248</v>
      </c>
      <c r="M33" s="20" t="s">
        <v>249</v>
      </c>
    </row>
    <row r="34" spans="1:13">
      <c r="A34" s="19" t="s">
        <v>250</v>
      </c>
      <c r="B34" s="19" t="s">
        <v>210</v>
      </c>
      <c r="C34" s="19" t="s">
        <v>211</v>
      </c>
      <c r="D34" s="20" t="s">
        <v>251</v>
      </c>
      <c r="E34" s="21" t="s">
        <v>252</v>
      </c>
      <c r="F34" s="19" t="s">
        <v>135</v>
      </c>
      <c r="G34" s="20" t="s">
        <v>253</v>
      </c>
      <c r="H34" s="19">
        <f t="shared" si="0"/>
        <v>11</v>
      </c>
      <c r="I34" s="19">
        <f t="shared" si="1"/>
        <v>11</v>
      </c>
      <c r="J34" s="19">
        <f t="shared" si="2"/>
        <v>0</v>
      </c>
      <c r="K34" s="22" t="s">
        <v>252</v>
      </c>
      <c r="L34" s="19" t="s">
        <v>254</v>
      </c>
      <c r="M34" s="20" t="s">
        <v>255</v>
      </c>
    </row>
    <row r="35" spans="1:13">
      <c r="A35" s="19" t="s">
        <v>256</v>
      </c>
      <c r="B35" s="19" t="s">
        <v>210</v>
      </c>
      <c r="C35" s="19" t="s">
        <v>211</v>
      </c>
      <c r="D35" s="20" t="s">
        <v>257</v>
      </c>
      <c r="E35" s="21" t="s">
        <v>258</v>
      </c>
      <c r="F35" s="19" t="s">
        <v>135</v>
      </c>
      <c r="G35" s="20" t="s">
        <v>259</v>
      </c>
      <c r="H35" s="19">
        <f t="shared" si="0"/>
        <v>7</v>
      </c>
      <c r="I35" s="19">
        <f t="shared" si="1"/>
        <v>7</v>
      </c>
      <c r="J35" s="19">
        <f t="shared" si="2"/>
        <v>0</v>
      </c>
      <c r="K35" s="22" t="s">
        <v>258</v>
      </c>
      <c r="L35" s="19" t="s">
        <v>254</v>
      </c>
      <c r="M35" s="20" t="s">
        <v>260</v>
      </c>
    </row>
    <row r="36" spans="1:13">
      <c r="A36" s="19" t="s">
        <v>261</v>
      </c>
      <c r="B36" s="19" t="s">
        <v>210</v>
      </c>
      <c r="C36" s="19" t="s">
        <v>211</v>
      </c>
      <c r="D36" s="20" t="s">
        <v>262</v>
      </c>
      <c r="E36" s="21" t="s">
        <v>263</v>
      </c>
      <c r="F36" s="19" t="s">
        <v>135</v>
      </c>
      <c r="G36" s="20" t="s">
        <v>264</v>
      </c>
      <c r="H36" s="19">
        <f t="shared" si="0"/>
        <v>30</v>
      </c>
      <c r="I36" s="19">
        <f t="shared" si="1"/>
        <v>30</v>
      </c>
      <c r="J36" s="19">
        <f t="shared" si="2"/>
        <v>0</v>
      </c>
      <c r="K36" s="22" t="s">
        <v>263</v>
      </c>
      <c r="L36" s="19" t="s">
        <v>254</v>
      </c>
      <c r="M36" s="20" t="s">
        <v>265</v>
      </c>
    </row>
    <row r="37" ht="28" spans="1:13">
      <c r="A37" s="19" t="s">
        <v>266</v>
      </c>
      <c r="B37" s="19" t="s">
        <v>210</v>
      </c>
      <c r="C37" s="19" t="s">
        <v>211</v>
      </c>
      <c r="D37" s="20" t="s">
        <v>267</v>
      </c>
      <c r="E37" s="21" t="s">
        <v>268</v>
      </c>
      <c r="F37" s="19" t="s">
        <v>135</v>
      </c>
      <c r="G37" s="20" t="s">
        <v>269</v>
      </c>
      <c r="H37" s="19">
        <f t="shared" si="0"/>
        <v>58</v>
      </c>
      <c r="I37" s="19">
        <f t="shared" si="1"/>
        <v>58</v>
      </c>
      <c r="J37" s="19">
        <f t="shared" si="2"/>
        <v>0</v>
      </c>
      <c r="K37" s="22" t="s">
        <v>268</v>
      </c>
      <c r="L37" s="19" t="s">
        <v>254</v>
      </c>
      <c r="M37" s="20" t="s">
        <v>270</v>
      </c>
    </row>
    <row r="38" spans="1:13">
      <c r="A38" s="19" t="s">
        <v>271</v>
      </c>
      <c r="B38" s="19" t="s">
        <v>210</v>
      </c>
      <c r="C38" s="19" t="s">
        <v>211</v>
      </c>
      <c r="D38" s="20" t="s">
        <v>272</v>
      </c>
      <c r="E38" s="21" t="s">
        <v>273</v>
      </c>
      <c r="F38" s="19" t="s">
        <v>135</v>
      </c>
      <c r="G38" s="19" t="s">
        <v>274</v>
      </c>
      <c r="H38" s="19">
        <f t="shared" si="0"/>
        <v>25</v>
      </c>
      <c r="I38" s="19">
        <f t="shared" si="1"/>
        <v>24</v>
      </c>
      <c r="J38" s="19">
        <f t="shared" si="2"/>
        <v>1</v>
      </c>
      <c r="K38" s="22" t="s">
        <v>275</v>
      </c>
      <c r="L38" s="19" t="s">
        <v>276</v>
      </c>
      <c r="M38" s="19" t="s">
        <v>277</v>
      </c>
    </row>
    <row r="39" spans="1:13">
      <c r="A39" s="19" t="s">
        <v>278</v>
      </c>
      <c r="B39" s="19" t="s">
        <v>210</v>
      </c>
      <c r="C39" s="19" t="s">
        <v>211</v>
      </c>
      <c r="D39" s="20" t="s">
        <v>279</v>
      </c>
      <c r="E39" s="21" t="s">
        <v>280</v>
      </c>
      <c r="F39" s="19" t="s">
        <v>135</v>
      </c>
      <c r="G39" s="20" t="s">
        <v>281</v>
      </c>
      <c r="H39" s="19">
        <f t="shared" si="0"/>
        <v>33</v>
      </c>
      <c r="I39" s="19" t="str">
        <f t="shared" si="1"/>
        <v/>
      </c>
      <c r="J39" s="19" t="str">
        <f t="shared" si="2"/>
        <v/>
      </c>
      <c r="K39" s="23" t="s">
        <v>117</v>
      </c>
      <c r="L39" s="19" t="s">
        <v>282</v>
      </c>
      <c r="M39" s="20" t="s">
        <v>283</v>
      </c>
    </row>
    <row r="40" ht="46" spans="1:13">
      <c r="A40" s="19" t="s">
        <v>284</v>
      </c>
      <c r="B40" s="19" t="s">
        <v>210</v>
      </c>
      <c r="C40" s="19" t="s">
        <v>211</v>
      </c>
      <c r="D40" s="20" t="s">
        <v>205</v>
      </c>
      <c r="E40" s="21" t="s">
        <v>206</v>
      </c>
      <c r="F40" s="19" t="s">
        <v>135</v>
      </c>
      <c r="G40" s="19" t="s">
        <v>207</v>
      </c>
      <c r="H40" s="19">
        <f t="shared" si="0"/>
        <v>157</v>
      </c>
      <c r="I40" s="19" t="str">
        <f t="shared" si="1"/>
        <v/>
      </c>
      <c r="J40" s="19" t="str">
        <f t="shared" si="2"/>
        <v/>
      </c>
      <c r="K40" s="23" t="s">
        <v>117</v>
      </c>
      <c r="L40" s="19" t="s">
        <v>135</v>
      </c>
      <c r="M40" s="20" t="s">
        <v>285</v>
      </c>
    </row>
    <row r="41" ht="31" spans="1:13">
      <c r="A41" s="24" t="s">
        <v>286</v>
      </c>
      <c r="B41" s="25" t="s">
        <v>287</v>
      </c>
      <c r="C41" s="25" t="s">
        <v>288</v>
      </c>
      <c r="D41" s="25" t="s">
        <v>289</v>
      </c>
      <c r="E41" s="26" t="s">
        <v>290</v>
      </c>
      <c r="F41" s="24" t="s">
        <v>291</v>
      </c>
      <c r="G41" s="24" t="s">
        <v>292</v>
      </c>
      <c r="H41" s="24">
        <f t="shared" si="0"/>
        <v>26</v>
      </c>
      <c r="I41" s="24" t="str">
        <f t="shared" si="1"/>
        <v/>
      </c>
      <c r="J41" s="24" t="str">
        <f t="shared" si="2"/>
        <v/>
      </c>
      <c r="K41" s="27" t="s">
        <v>293</v>
      </c>
      <c r="L41" s="24" t="s">
        <v>161</v>
      </c>
      <c r="M41" s="24" t="s">
        <v>294</v>
      </c>
    </row>
    <row r="42" spans="1:13">
      <c r="A42" s="24" t="s">
        <v>295</v>
      </c>
      <c r="B42" s="25" t="s">
        <v>287</v>
      </c>
      <c r="C42" s="25" t="s">
        <v>288</v>
      </c>
      <c r="D42" s="25" t="s">
        <v>296</v>
      </c>
      <c r="E42" s="26" t="s">
        <v>297</v>
      </c>
      <c r="F42" s="24" t="s">
        <v>298</v>
      </c>
      <c r="G42" s="25" t="s">
        <v>299</v>
      </c>
      <c r="H42" s="24">
        <f t="shared" si="0"/>
        <v>16</v>
      </c>
      <c r="I42" s="24">
        <f t="shared" si="1"/>
        <v>18</v>
      </c>
      <c r="J42" s="24">
        <f t="shared" si="2"/>
        <v>-2</v>
      </c>
      <c r="K42" s="28" t="s">
        <v>298</v>
      </c>
      <c r="L42" s="24" t="s">
        <v>135</v>
      </c>
      <c r="M42" s="25" t="s">
        <v>300</v>
      </c>
    </row>
    <row r="43" ht="31" spans="1:13">
      <c r="A43" s="24" t="s">
        <v>301</v>
      </c>
      <c r="B43" s="25" t="s">
        <v>287</v>
      </c>
      <c r="C43" s="25" t="s">
        <v>288</v>
      </c>
      <c r="D43" s="25" t="s">
        <v>302</v>
      </c>
      <c r="E43" s="26" t="s">
        <v>303</v>
      </c>
      <c r="F43" s="24" t="s">
        <v>304</v>
      </c>
      <c r="G43" s="25" t="s">
        <v>305</v>
      </c>
      <c r="H43" s="24">
        <f t="shared" si="0"/>
        <v>55</v>
      </c>
      <c r="I43" s="24">
        <f t="shared" si="1"/>
        <v>39</v>
      </c>
      <c r="J43" s="24">
        <f t="shared" si="2"/>
        <v>16</v>
      </c>
      <c r="K43" s="28" t="s">
        <v>306</v>
      </c>
      <c r="L43" s="24" t="s">
        <v>307</v>
      </c>
      <c r="M43" s="25" t="s">
        <v>308</v>
      </c>
    </row>
    <row r="44" ht="31" spans="1:13">
      <c r="A44" s="24" t="s">
        <v>309</v>
      </c>
      <c r="B44" s="25" t="s">
        <v>287</v>
      </c>
      <c r="C44" s="25" t="s">
        <v>288</v>
      </c>
      <c r="D44" s="25" t="s">
        <v>310</v>
      </c>
      <c r="E44" s="26" t="s">
        <v>311</v>
      </c>
      <c r="F44" s="24" t="s">
        <v>312</v>
      </c>
      <c r="G44" s="25" t="s">
        <v>313</v>
      </c>
      <c r="H44" s="24">
        <f t="shared" si="0"/>
        <v>26</v>
      </c>
      <c r="I44" s="24">
        <f t="shared" si="1"/>
        <v>29</v>
      </c>
      <c r="J44" s="24">
        <f t="shared" si="2"/>
        <v>-3</v>
      </c>
      <c r="K44" s="28" t="s">
        <v>216</v>
      </c>
      <c r="L44" s="24" t="s">
        <v>314</v>
      </c>
      <c r="M44" s="25" t="s">
        <v>315</v>
      </c>
    </row>
    <row r="45" spans="1:13">
      <c r="A45" s="24" t="s">
        <v>316</v>
      </c>
      <c r="B45" s="25" t="s">
        <v>287</v>
      </c>
      <c r="C45" s="25" t="s">
        <v>288</v>
      </c>
      <c r="D45" s="25" t="s">
        <v>317</v>
      </c>
      <c r="E45" s="26" t="s">
        <v>318</v>
      </c>
      <c r="F45" s="24" t="s">
        <v>135</v>
      </c>
      <c r="G45" s="25" t="s">
        <v>319</v>
      </c>
      <c r="H45" s="24">
        <f t="shared" si="0"/>
        <v>11</v>
      </c>
      <c r="I45" s="24">
        <f t="shared" si="1"/>
        <v>11</v>
      </c>
      <c r="J45" s="24">
        <f t="shared" si="2"/>
        <v>0</v>
      </c>
      <c r="K45" s="28" t="s">
        <v>318</v>
      </c>
      <c r="L45" s="24" t="s">
        <v>135</v>
      </c>
      <c r="M45" s="25" t="s">
        <v>320</v>
      </c>
    </row>
    <row r="46" ht="46" spans="1:13">
      <c r="A46" s="24" t="s">
        <v>321</v>
      </c>
      <c r="B46" s="25" t="s">
        <v>287</v>
      </c>
      <c r="C46" s="25" t="s">
        <v>288</v>
      </c>
      <c r="D46" s="25" t="s">
        <v>322</v>
      </c>
      <c r="E46" s="26" t="s">
        <v>323</v>
      </c>
      <c r="F46" s="24" t="s">
        <v>324</v>
      </c>
      <c r="G46" s="25" t="s">
        <v>325</v>
      </c>
      <c r="H46" s="24">
        <f t="shared" si="0"/>
        <v>69</v>
      </c>
      <c r="I46" s="24">
        <f t="shared" si="1"/>
        <v>88</v>
      </c>
      <c r="J46" s="24">
        <f t="shared" si="2"/>
        <v>-19</v>
      </c>
      <c r="K46" s="28" t="s">
        <v>326</v>
      </c>
      <c r="L46" s="24" t="s">
        <v>327</v>
      </c>
      <c r="M46" s="25" t="s">
        <v>328</v>
      </c>
    </row>
    <row r="47" ht="31" spans="1:13">
      <c r="A47" s="24" t="s">
        <v>329</v>
      </c>
      <c r="B47" s="25" t="s">
        <v>330</v>
      </c>
      <c r="C47" s="25" t="s">
        <v>331</v>
      </c>
      <c r="D47" s="25" t="s">
        <v>332</v>
      </c>
      <c r="E47" s="26" t="s">
        <v>333</v>
      </c>
      <c r="F47" s="24" t="s">
        <v>334</v>
      </c>
      <c r="G47" s="25" t="s">
        <v>335</v>
      </c>
      <c r="H47" s="24">
        <f t="shared" si="0"/>
        <v>22</v>
      </c>
      <c r="I47" s="24">
        <f t="shared" si="1"/>
        <v>29</v>
      </c>
      <c r="J47" s="24">
        <f t="shared" si="2"/>
        <v>-7</v>
      </c>
      <c r="K47" s="28" t="s">
        <v>216</v>
      </c>
      <c r="L47" s="24" t="s">
        <v>336</v>
      </c>
      <c r="M47" s="25" t="s">
        <v>337</v>
      </c>
    </row>
    <row r="48" spans="1:13">
      <c r="A48" s="24" t="s">
        <v>338</v>
      </c>
      <c r="B48" s="25" t="s">
        <v>330</v>
      </c>
      <c r="C48" s="25" t="s">
        <v>331</v>
      </c>
      <c r="D48" s="25" t="s">
        <v>339</v>
      </c>
      <c r="E48" s="26" t="s">
        <v>340</v>
      </c>
      <c r="F48" s="24" t="s">
        <v>341</v>
      </c>
      <c r="G48" s="25" t="s">
        <v>342</v>
      </c>
      <c r="H48" s="24">
        <f t="shared" si="0"/>
        <v>12</v>
      </c>
      <c r="I48" s="24">
        <f t="shared" si="1"/>
        <v>13</v>
      </c>
      <c r="J48" s="24">
        <f t="shared" si="2"/>
        <v>-1</v>
      </c>
      <c r="K48" s="28" t="s">
        <v>343</v>
      </c>
      <c r="L48" s="24" t="s">
        <v>135</v>
      </c>
      <c r="M48" s="24"/>
    </row>
    <row r="49" spans="1:13">
      <c r="A49" s="24" t="s">
        <v>344</v>
      </c>
      <c r="B49" s="25" t="s">
        <v>330</v>
      </c>
      <c r="C49" s="25" t="s">
        <v>331</v>
      </c>
      <c r="D49" s="25" t="s">
        <v>345</v>
      </c>
      <c r="E49" s="26" t="s">
        <v>346</v>
      </c>
      <c r="F49" s="24" t="s">
        <v>347</v>
      </c>
      <c r="G49" s="25" t="s">
        <v>348</v>
      </c>
      <c r="H49" s="24">
        <f t="shared" si="0"/>
        <v>25</v>
      </c>
      <c r="I49" s="24">
        <f t="shared" si="1"/>
        <v>19</v>
      </c>
      <c r="J49" s="24">
        <f t="shared" si="2"/>
        <v>6</v>
      </c>
      <c r="K49" s="28" t="s">
        <v>349</v>
      </c>
      <c r="L49" s="24" t="s">
        <v>135</v>
      </c>
      <c r="M49" s="25" t="s">
        <v>350</v>
      </c>
    </row>
    <row r="50" spans="1:13">
      <c r="A50" s="24" t="s">
        <v>351</v>
      </c>
      <c r="B50" s="25" t="s">
        <v>330</v>
      </c>
      <c r="C50" s="25" t="s">
        <v>331</v>
      </c>
      <c r="D50" s="25" t="s">
        <v>352</v>
      </c>
      <c r="E50" s="26" t="s">
        <v>353</v>
      </c>
      <c r="F50" s="24" t="s">
        <v>354</v>
      </c>
      <c r="G50" s="25" t="s">
        <v>355</v>
      </c>
      <c r="H50" s="24">
        <f t="shared" si="0"/>
        <v>29</v>
      </c>
      <c r="I50" s="24">
        <f t="shared" si="1"/>
        <v>24</v>
      </c>
      <c r="J50" s="24">
        <f t="shared" si="2"/>
        <v>5</v>
      </c>
      <c r="K50" s="28" t="s">
        <v>356</v>
      </c>
      <c r="L50" s="24" t="s">
        <v>110</v>
      </c>
      <c r="M50" s="24"/>
    </row>
    <row r="51" spans="1:13">
      <c r="A51" s="24" t="s">
        <v>357</v>
      </c>
      <c r="B51" s="25" t="s">
        <v>330</v>
      </c>
      <c r="C51" s="25" t="s">
        <v>331</v>
      </c>
      <c r="D51" s="25" t="s">
        <v>358</v>
      </c>
      <c r="E51" s="26" t="s">
        <v>359</v>
      </c>
      <c r="F51" s="24" t="s">
        <v>360</v>
      </c>
      <c r="G51" s="25" t="s">
        <v>361</v>
      </c>
      <c r="H51" s="24">
        <f t="shared" si="0"/>
        <v>13</v>
      </c>
      <c r="I51" s="24">
        <f t="shared" si="1"/>
        <v>15</v>
      </c>
      <c r="J51" s="24">
        <f t="shared" si="2"/>
        <v>-2</v>
      </c>
      <c r="K51" s="28" t="s">
        <v>362</v>
      </c>
      <c r="L51" s="24" t="s">
        <v>135</v>
      </c>
      <c r="M51" s="25" t="s">
        <v>363</v>
      </c>
    </row>
    <row r="52" ht="31" spans="1:13">
      <c r="A52" s="24" t="s">
        <v>364</v>
      </c>
      <c r="B52" s="25" t="s">
        <v>330</v>
      </c>
      <c r="C52" s="25" t="s">
        <v>331</v>
      </c>
      <c r="D52" s="25" t="s">
        <v>365</v>
      </c>
      <c r="E52" s="29" t="s">
        <v>366</v>
      </c>
      <c r="F52" s="24" t="s">
        <v>367</v>
      </c>
      <c r="G52" s="25" t="s">
        <v>368</v>
      </c>
      <c r="H52" s="24">
        <f t="shared" si="0"/>
        <v>4</v>
      </c>
      <c r="I52" s="24">
        <f t="shared" si="1"/>
        <v>12</v>
      </c>
      <c r="J52" s="24">
        <f t="shared" si="2"/>
        <v>-8</v>
      </c>
      <c r="K52" s="28" t="s">
        <v>369</v>
      </c>
      <c r="L52" s="24" t="s">
        <v>135</v>
      </c>
      <c r="M52" s="25" t="s">
        <v>370</v>
      </c>
    </row>
    <row r="53" ht="46" spans="1:13">
      <c r="A53" s="24" t="s">
        <v>371</v>
      </c>
      <c r="B53" s="25" t="s">
        <v>330</v>
      </c>
      <c r="C53" s="25" t="s">
        <v>331</v>
      </c>
      <c r="D53" s="25" t="s">
        <v>372</v>
      </c>
      <c r="E53" s="26" t="s">
        <v>373</v>
      </c>
      <c r="F53" s="24" t="s">
        <v>374</v>
      </c>
      <c r="G53" s="25" t="s">
        <v>375</v>
      </c>
      <c r="H53" s="24">
        <f t="shared" si="0"/>
        <v>61</v>
      </c>
      <c r="I53" s="24">
        <f t="shared" si="1"/>
        <v>33</v>
      </c>
      <c r="J53" s="24">
        <f t="shared" si="2"/>
        <v>28</v>
      </c>
      <c r="K53" s="28" t="s">
        <v>376</v>
      </c>
      <c r="L53" s="24" t="s">
        <v>276</v>
      </c>
      <c r="M53" s="25" t="s">
        <v>377</v>
      </c>
    </row>
    <row r="54" ht="31" spans="1:13">
      <c r="A54" s="30" t="s">
        <v>378</v>
      </c>
      <c r="B54" s="30" t="s">
        <v>379</v>
      </c>
      <c r="C54" s="30" t="s">
        <v>29</v>
      </c>
      <c r="D54" s="31" t="s">
        <v>380</v>
      </c>
      <c r="E54" s="32" t="s">
        <v>381</v>
      </c>
      <c r="F54" s="30" t="s">
        <v>135</v>
      </c>
      <c r="G54" s="30" t="s">
        <v>382</v>
      </c>
      <c r="H54" s="30">
        <f t="shared" si="0"/>
        <v>89</v>
      </c>
      <c r="I54" s="30" t="str">
        <f t="shared" si="1"/>
        <v/>
      </c>
      <c r="J54" s="30" t="str">
        <f t="shared" si="2"/>
        <v/>
      </c>
      <c r="K54" s="33" t="s">
        <v>135</v>
      </c>
      <c r="L54" s="30" t="s">
        <v>127</v>
      </c>
      <c r="M54" s="31" t="s">
        <v>383</v>
      </c>
    </row>
    <row r="55" ht="31" spans="1:13">
      <c r="A55" s="30" t="s">
        <v>384</v>
      </c>
      <c r="B55" s="30" t="s">
        <v>379</v>
      </c>
      <c r="C55" s="30" t="s">
        <v>121</v>
      </c>
      <c r="D55" s="31" t="s">
        <v>380</v>
      </c>
      <c r="E55" s="32" t="s">
        <v>385</v>
      </c>
      <c r="F55" s="30" t="s">
        <v>135</v>
      </c>
      <c r="G55" s="30" t="s">
        <v>386</v>
      </c>
      <c r="H55" s="30">
        <f t="shared" si="0"/>
        <v>95</v>
      </c>
      <c r="I55" s="30" t="str">
        <f t="shared" si="1"/>
        <v/>
      </c>
      <c r="J55" s="30" t="str">
        <f t="shared" si="2"/>
        <v/>
      </c>
      <c r="K55" s="33" t="s">
        <v>135</v>
      </c>
      <c r="L55" s="30" t="s">
        <v>387</v>
      </c>
      <c r="M55" s="30"/>
    </row>
    <row r="56" ht="31" spans="1:13">
      <c r="A56" s="30" t="s">
        <v>388</v>
      </c>
      <c r="B56" s="30" t="s">
        <v>379</v>
      </c>
      <c r="C56" s="30" t="s">
        <v>186</v>
      </c>
      <c r="D56" s="31" t="s">
        <v>380</v>
      </c>
      <c r="E56" s="32" t="s">
        <v>389</v>
      </c>
      <c r="F56" s="30" t="s">
        <v>135</v>
      </c>
      <c r="G56" s="30" t="s">
        <v>390</v>
      </c>
      <c r="H56" s="30">
        <f t="shared" si="0"/>
        <v>87</v>
      </c>
      <c r="I56" s="30" t="str">
        <f t="shared" si="1"/>
        <v/>
      </c>
      <c r="J56" s="30" t="str">
        <f t="shared" si="2"/>
        <v/>
      </c>
      <c r="K56" s="33" t="s">
        <v>135</v>
      </c>
      <c r="L56" s="30" t="s">
        <v>391</v>
      </c>
      <c r="M56" s="30"/>
    </row>
    <row r="57" ht="31" spans="1:13">
      <c r="A57" s="30" t="s">
        <v>392</v>
      </c>
      <c r="B57" s="30" t="s">
        <v>379</v>
      </c>
      <c r="C57" s="30" t="s">
        <v>211</v>
      </c>
      <c r="D57" s="31" t="s">
        <v>380</v>
      </c>
      <c r="E57" s="32" t="s">
        <v>393</v>
      </c>
      <c r="F57" s="30" t="s">
        <v>135</v>
      </c>
      <c r="G57" s="30" t="s">
        <v>394</v>
      </c>
      <c r="H57" s="30">
        <f t="shared" si="0"/>
        <v>95</v>
      </c>
      <c r="I57" s="30" t="str">
        <f t="shared" si="1"/>
        <v/>
      </c>
      <c r="J57" s="30" t="str">
        <f t="shared" si="2"/>
        <v/>
      </c>
      <c r="K57" s="33" t="s">
        <v>135</v>
      </c>
      <c r="L57" s="30" t="s">
        <v>395</v>
      </c>
      <c r="M57" s="30"/>
    </row>
  </sheetData>
  <autoFilter xmlns:etc="http://www.wps.cn/officeDocument/2017/etCustomData" ref="A1:M57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96875" defaultRowHeight="16.8" outlineLevelCol="5"/>
  <cols>
    <col min="1" max="1" width="5" customWidth="1"/>
    <col min="2" max="2" width="8" customWidth="1"/>
    <col min="3" max="3" width="24" customWidth="1"/>
    <col min="4" max="5" width="50" customWidth="1"/>
    <col min="6" max="6" width="10" customWidth="1"/>
  </cols>
  <sheetData>
    <row r="1" spans="1:6">
      <c r="A1" s="4" t="s">
        <v>396</v>
      </c>
      <c r="B1" s="1" t="s">
        <v>397</v>
      </c>
      <c r="C1" s="1" t="s">
        <v>398</v>
      </c>
      <c r="D1" s="1" t="s">
        <v>399</v>
      </c>
      <c r="E1" s="1" t="s">
        <v>400</v>
      </c>
      <c r="F1" s="1" t="s">
        <v>401</v>
      </c>
    </row>
    <row r="2" spans="1:6">
      <c r="A2" s="2">
        <v>1</v>
      </c>
      <c r="B2" s="5" t="s">
        <v>402</v>
      </c>
      <c r="C2" s="3" t="s">
        <v>403</v>
      </c>
      <c r="D2" s="2" t="s">
        <v>404</v>
      </c>
      <c r="E2" s="3" t="s">
        <v>405</v>
      </c>
      <c r="F2" s="3" t="s">
        <v>406</v>
      </c>
    </row>
    <row r="3" spans="1:6">
      <c r="A3" s="2">
        <v>2</v>
      </c>
      <c r="B3" s="5" t="s">
        <v>402</v>
      </c>
      <c r="C3" s="2" t="s">
        <v>407</v>
      </c>
      <c r="D3" s="3" t="s">
        <v>408</v>
      </c>
      <c r="E3" s="3" t="s">
        <v>409</v>
      </c>
      <c r="F3" s="3" t="s">
        <v>406</v>
      </c>
    </row>
    <row r="4" spans="1:6">
      <c r="A4" s="2">
        <v>3</v>
      </c>
      <c r="B4" s="5" t="s">
        <v>402</v>
      </c>
      <c r="C4" s="2" t="s">
        <v>410</v>
      </c>
      <c r="D4" s="2" t="s">
        <v>411</v>
      </c>
      <c r="E4" s="3" t="s">
        <v>412</v>
      </c>
      <c r="F4" s="3" t="s">
        <v>406</v>
      </c>
    </row>
    <row r="5" ht="31" spans="1:6">
      <c r="A5" s="2">
        <v>4</v>
      </c>
      <c r="B5" s="5" t="s">
        <v>402</v>
      </c>
      <c r="C5" s="2" t="s">
        <v>413</v>
      </c>
      <c r="D5" s="2" t="s">
        <v>414</v>
      </c>
      <c r="E5" s="3" t="s">
        <v>415</v>
      </c>
      <c r="F5" s="3" t="s">
        <v>406</v>
      </c>
    </row>
    <row r="6" spans="1:6">
      <c r="A6" s="2">
        <v>5</v>
      </c>
      <c r="B6" s="5" t="s">
        <v>402</v>
      </c>
      <c r="C6" s="2" t="s">
        <v>416</v>
      </c>
      <c r="D6" s="3" t="s">
        <v>417</v>
      </c>
      <c r="E6" s="3" t="s">
        <v>418</v>
      </c>
      <c r="F6" s="3" t="s">
        <v>406</v>
      </c>
    </row>
    <row r="7" ht="31" spans="1:6">
      <c r="A7" s="2">
        <v>6</v>
      </c>
      <c r="B7" s="5" t="s">
        <v>402</v>
      </c>
      <c r="C7" s="3" t="s">
        <v>419</v>
      </c>
      <c r="D7" s="3" t="s">
        <v>420</v>
      </c>
      <c r="E7" s="3" t="s">
        <v>421</v>
      </c>
      <c r="F7" s="3" t="s">
        <v>406</v>
      </c>
    </row>
    <row r="8" spans="1:6">
      <c r="A8" s="2">
        <v>7</v>
      </c>
      <c r="B8" s="5" t="s">
        <v>402</v>
      </c>
      <c r="C8" s="3" t="s">
        <v>422</v>
      </c>
      <c r="D8" s="3" t="s">
        <v>423</v>
      </c>
      <c r="E8" s="3" t="s">
        <v>424</v>
      </c>
      <c r="F8" s="3" t="s">
        <v>406</v>
      </c>
    </row>
    <row r="9" spans="1:6">
      <c r="A9" s="2">
        <v>8</v>
      </c>
      <c r="B9" s="5" t="s">
        <v>402</v>
      </c>
      <c r="C9" s="3" t="s">
        <v>425</v>
      </c>
      <c r="D9" s="2" t="s">
        <v>426</v>
      </c>
      <c r="E9" s="3" t="s">
        <v>427</v>
      </c>
      <c r="F9" s="3" t="s">
        <v>406</v>
      </c>
    </row>
    <row r="10" spans="1:6">
      <c r="A10" s="2">
        <v>9</v>
      </c>
      <c r="B10" s="5" t="s">
        <v>402</v>
      </c>
      <c r="C10" s="3" t="s">
        <v>428</v>
      </c>
      <c r="D10" s="2" t="s">
        <v>429</v>
      </c>
      <c r="E10" s="3" t="s">
        <v>430</v>
      </c>
      <c r="F10" s="3" t="s">
        <v>406</v>
      </c>
    </row>
    <row r="11" ht="31" spans="1:6">
      <c r="A11" s="2">
        <v>10</v>
      </c>
      <c r="B11" s="6" t="s">
        <v>431</v>
      </c>
      <c r="C11" s="2" t="s">
        <v>432</v>
      </c>
      <c r="D11" s="3" t="s">
        <v>433</v>
      </c>
      <c r="E11" s="3" t="s">
        <v>434</v>
      </c>
      <c r="F11" s="3" t="s">
        <v>406</v>
      </c>
    </row>
    <row r="12" ht="31" spans="1:6">
      <c r="A12" s="2">
        <v>11</v>
      </c>
      <c r="B12" s="6" t="s">
        <v>431</v>
      </c>
      <c r="C12" s="2" t="s">
        <v>435</v>
      </c>
      <c r="D12" s="3" t="s">
        <v>436</v>
      </c>
      <c r="E12" s="3" t="s">
        <v>437</v>
      </c>
      <c r="F12" s="3" t="s">
        <v>406</v>
      </c>
    </row>
    <row r="13" spans="1:6">
      <c r="A13" s="2">
        <v>12</v>
      </c>
      <c r="B13" s="6" t="s">
        <v>431</v>
      </c>
      <c r="C13" s="2" t="s">
        <v>438</v>
      </c>
      <c r="D13" s="2" t="s">
        <v>439</v>
      </c>
      <c r="E13" s="3" t="s">
        <v>440</v>
      </c>
      <c r="F13" s="3" t="s">
        <v>406</v>
      </c>
    </row>
    <row r="14" spans="1:6">
      <c r="A14" s="2">
        <v>13</v>
      </c>
      <c r="B14" s="7" t="s">
        <v>441</v>
      </c>
      <c r="C14" s="3" t="s">
        <v>442</v>
      </c>
      <c r="D14" s="2" t="s">
        <v>443</v>
      </c>
      <c r="E14" s="3" t="s">
        <v>444</v>
      </c>
      <c r="F14" s="3" t="s">
        <v>406</v>
      </c>
    </row>
    <row r="15" spans="1:6">
      <c r="A15" s="2">
        <v>14</v>
      </c>
      <c r="B15" s="7" t="s">
        <v>441</v>
      </c>
      <c r="C15" s="3" t="s">
        <v>419</v>
      </c>
      <c r="D15" s="3" t="s">
        <v>445</v>
      </c>
      <c r="E15" s="3" t="s">
        <v>446</v>
      </c>
      <c r="F15" s="3" t="s">
        <v>406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96875" defaultRowHeight="16.8" outlineLevelCol="3"/>
  <cols>
    <col min="1" max="1" width="6" customWidth="1"/>
    <col min="2" max="2" width="56" customWidth="1"/>
    <col min="3" max="3" width="50" customWidth="1"/>
    <col min="4" max="4" width="48" customWidth="1"/>
  </cols>
  <sheetData>
    <row r="1" spans="1:4">
      <c r="A1" s="1" t="s">
        <v>14</v>
      </c>
      <c r="B1" s="1" t="s">
        <v>447</v>
      </c>
      <c r="C1" s="1" t="s">
        <v>448</v>
      </c>
      <c r="D1" s="1" t="s">
        <v>449</v>
      </c>
    </row>
    <row r="2" spans="1:4">
      <c r="A2" s="2" t="s">
        <v>51</v>
      </c>
      <c r="B2" s="3" t="s">
        <v>450</v>
      </c>
      <c r="C2" s="2" t="s">
        <v>451</v>
      </c>
      <c r="D2" s="3" t="s">
        <v>452</v>
      </c>
    </row>
    <row r="3" spans="1:4">
      <c r="A3" s="2" t="s">
        <v>307</v>
      </c>
      <c r="B3" s="2" t="s">
        <v>453</v>
      </c>
      <c r="C3" s="2" t="s">
        <v>454</v>
      </c>
      <c r="D3" s="2"/>
    </row>
    <row r="4" spans="1:4">
      <c r="A4" s="2" t="s">
        <v>95</v>
      </c>
      <c r="B4" s="3" t="s">
        <v>455</v>
      </c>
      <c r="C4" s="2" t="s">
        <v>456</v>
      </c>
      <c r="D4" s="3" t="s">
        <v>457</v>
      </c>
    </row>
    <row r="5" spans="1:4">
      <c r="A5" s="2" t="s">
        <v>458</v>
      </c>
      <c r="B5" s="3" t="s">
        <v>459</v>
      </c>
      <c r="C5" s="2" t="s">
        <v>460</v>
      </c>
      <c r="D5" s="3" t="s">
        <v>461</v>
      </c>
    </row>
    <row r="6" spans="1:4">
      <c r="A6" s="2" t="s">
        <v>276</v>
      </c>
      <c r="B6" s="2" t="s">
        <v>462</v>
      </c>
      <c r="C6" s="2" t="s">
        <v>463</v>
      </c>
      <c r="D6" s="2"/>
    </row>
    <row r="7" spans="1:4">
      <c r="A7" s="2" t="s">
        <v>110</v>
      </c>
      <c r="B7" s="3" t="s">
        <v>464</v>
      </c>
      <c r="C7" s="2" t="s">
        <v>465</v>
      </c>
      <c r="D7" s="2" t="s">
        <v>466</v>
      </c>
    </row>
    <row r="8" spans="1:4">
      <c r="A8" s="2" t="s">
        <v>336</v>
      </c>
      <c r="B8" s="3" t="s">
        <v>467</v>
      </c>
      <c r="C8" s="2" t="s">
        <v>468</v>
      </c>
      <c r="D8" s="2"/>
    </row>
    <row r="9" ht="31" spans="1:4">
      <c r="A9" s="2" t="s">
        <v>182</v>
      </c>
      <c r="B9" s="3" t="s">
        <v>469</v>
      </c>
      <c r="C9" s="2" t="s">
        <v>470</v>
      </c>
      <c r="D9" s="3" t="s">
        <v>471</v>
      </c>
    </row>
    <row r="10" spans="1:4">
      <c r="A10" s="2" t="s">
        <v>472</v>
      </c>
      <c r="B10" s="3" t="s">
        <v>473</v>
      </c>
      <c r="C10" s="2" t="s">
        <v>474</v>
      </c>
      <c r="D10" s="2"/>
    </row>
    <row r="11" spans="1:4">
      <c r="A11" s="2" t="s">
        <v>87</v>
      </c>
      <c r="B11" s="2" t="s">
        <v>475</v>
      </c>
      <c r="C11" s="3" t="s">
        <v>476</v>
      </c>
      <c r="D11" s="2" t="s">
        <v>477</v>
      </c>
    </row>
    <row r="12" ht="31" spans="1:4">
      <c r="A12" s="2" t="s">
        <v>254</v>
      </c>
      <c r="B12" s="2" t="s">
        <v>478</v>
      </c>
      <c r="C12" s="3" t="s">
        <v>479</v>
      </c>
      <c r="D12" s="2" t="s">
        <v>480</v>
      </c>
    </row>
    <row r="13" ht="31" spans="1:4">
      <c r="A13" s="2" t="s">
        <v>35</v>
      </c>
      <c r="B13" s="3" t="s">
        <v>481</v>
      </c>
      <c r="C13" s="3" t="s">
        <v>482</v>
      </c>
      <c r="D13" s="3" t="s">
        <v>483</v>
      </c>
    </row>
    <row r="14" spans="1:4">
      <c r="A14" s="2" t="s">
        <v>161</v>
      </c>
      <c r="B14" s="3" t="s">
        <v>484</v>
      </c>
      <c r="C14" s="2" t="s">
        <v>485</v>
      </c>
      <c r="D14" s="2" t="s">
        <v>486</v>
      </c>
    </row>
    <row r="15" spans="1:4">
      <c r="A15" s="2" t="s">
        <v>314</v>
      </c>
      <c r="B15" s="3" t="s">
        <v>487</v>
      </c>
      <c r="C15" s="2" t="s">
        <v>488</v>
      </c>
      <c r="D15" s="3" t="s">
        <v>489</v>
      </c>
    </row>
    <row r="16" ht="31" spans="1:4">
      <c r="A16" s="3" t="s">
        <v>490</v>
      </c>
      <c r="B16" s="3" t="s">
        <v>491</v>
      </c>
      <c r="C16" s="2"/>
      <c r="D16" s="2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LibreOffice/26.2.5.2$Linux_AARCH64 LibreOffice_project/620$Build-2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说明</vt:lpstr>
      <vt:lpstr>文案总表</vt:lpstr>
      <vt:lpstr>设计修改清单</vt:lpstr>
      <vt:lpstr>事实依据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Nexus</cp:lastModifiedBy>
  <cp:revision>0</cp:revision>
  <dcterms:created xsi:type="dcterms:W3CDTF">2026-09-28T22:21:00Z</dcterms:created>
  <dcterms:modified xsi:type="dcterms:W3CDTF">2026-09-28T22:32:08Z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703BEBF094A6C2B9687ABA6A52A0D54F_42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