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260" windowHeight="12860" tabRatio="500" firstSheet="0" activeTab="1" autoFilterDateGrouping="1"/>
  </bookViews>
  <sheets>
    <sheet name="说明" sheetId="1" state="visible" r:id="rId1"/>
    <sheet name="文案总表" sheetId="2" state="visible" r:id="rId2"/>
    <sheet name="设计修改清单" sheetId="3" state="visible" r:id="rId3"/>
    <sheet name="事实依据" sheetId="4" state="visible" r:id="rId4"/>
  </sheets>
  <definedNames>
    <definedName name="_xlnm._FilterDatabase" localSheetId="1" hidden="1">'文案总表'!$A$1:$M$57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Calibri"/>
      <charset val="1"/>
      <color theme="1"/>
      <sz val="11"/>
    </font>
    <font>
      <name val="Noto Sans CJK SC"/>
      <charset val="134"/>
      <b val="1"/>
      <color rgb="FFFFFFFF"/>
      <sz val="10"/>
    </font>
    <font>
      <name val="Arial"/>
      <charset val="1"/>
      <sz val="10"/>
    </font>
    <font>
      <name val="Noto Sans CJK SC"/>
      <charset val="134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C00000"/>
      <sz val="10"/>
    </font>
    <font>
      <name val="Arial"/>
      <charset val="1"/>
      <color rgb="FF808080"/>
      <sz val="9"/>
    </font>
    <font>
      <name val="Noto Sans CJK SC"/>
      <charset val="134"/>
      <color rgb="FF808080"/>
      <sz val="9"/>
    </font>
    <font>
      <name val="Noto Sans CJK SC"/>
      <charset val="134"/>
      <b val="1"/>
      <color rgb="FFC00000"/>
      <sz val="10"/>
    </font>
    <font>
      <name val="Arial"/>
      <charset val="1"/>
      <b val="1"/>
      <sz val="14"/>
    </font>
    <font>
      <name val="Noto Sans CJK SC"/>
      <charset val="134"/>
      <b val="1"/>
      <sz val="11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"/>
      <b val="1"/>
      <sz val="11"/>
    </font>
    <font>
      <name val="Noto Sans CJK SC"/>
      <charset val="134"/>
      <b val="1"/>
      <sz val="14"/>
    </font>
  </fonts>
  <fills count="42">
    <fill>
      <patternFill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BF7EE"/>
      </patternFill>
    </fill>
    <fill>
      <patternFill patternType="solid">
        <fgColor rgb="FFD9E7F7"/>
        <bgColor rgb="FFF3F3F3"/>
      </patternFill>
    </fill>
    <fill>
      <patternFill patternType="solid">
        <fgColor rgb="FFFDF2F2"/>
        <bgColor rgb="FFFBF7EE"/>
      </patternFill>
    </fill>
    <fill>
      <patternFill patternType="solid">
        <fgColor rgb="FFF2F6FC"/>
        <bgColor rgb="FFF3F3F3"/>
      </patternFill>
    </fill>
    <fill>
      <patternFill patternType="solid">
        <fgColor rgb="FFF4F9F1"/>
        <bgColor rgb="FFFBF7EE"/>
      </patternFill>
    </fill>
    <fill>
      <patternFill patternType="solid">
        <fgColor rgb="FFFBF7EE"/>
        <bgColor rgb="FFFDF2F2"/>
      </patternFill>
    </fill>
    <fill>
      <patternFill patternType="solid">
        <fgColor rgb="FFF3F3F3"/>
        <bgColor rgb="FFF2F6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/>
    <xf numFmtId="44" fontId="11" fillId="0" borderId="0"/>
    <xf numFmtId="9" fontId="11" fillId="0" borderId="0"/>
    <xf numFmtId="41" fontId="11" fillId="0" borderId="0"/>
    <xf numFmtId="42" fontId="11" fillId="0" borderId="0"/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11" borderId="2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" applyAlignment="1">
      <alignment vertical="center"/>
    </xf>
    <xf numFmtId="0" fontId="19" fillId="0" borderId="3" applyAlignment="1">
      <alignment vertical="center"/>
    </xf>
    <xf numFmtId="0" fontId="20" fillId="0" borderId="4" applyAlignment="1">
      <alignment vertical="center"/>
    </xf>
    <xf numFmtId="0" fontId="20" fillId="0" borderId="0" applyAlignment="1">
      <alignment vertical="center"/>
    </xf>
    <xf numFmtId="0" fontId="21" fillId="12" borderId="5" applyAlignment="1">
      <alignment vertical="center"/>
    </xf>
    <xf numFmtId="0" fontId="22" fillId="13" borderId="6" applyAlignment="1">
      <alignment vertical="center"/>
    </xf>
    <xf numFmtId="0" fontId="23" fillId="13" borderId="5" applyAlignment="1">
      <alignment vertical="center"/>
    </xf>
    <xf numFmtId="0" fontId="24" fillId="14" borderId="7" applyAlignment="1">
      <alignment vertical="center"/>
    </xf>
    <xf numFmtId="0" fontId="25" fillId="0" borderId="8" applyAlignment="1">
      <alignment vertical="center"/>
    </xf>
    <xf numFmtId="0" fontId="26" fillId="0" borderId="9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  <xf numFmtId="0" fontId="30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0" fillId="37" borderId="0" applyAlignment="1">
      <alignment vertical="center"/>
    </xf>
    <xf numFmtId="0" fontId="30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30" fillId="41" borderId="0" applyAlignment="1">
      <alignment vertical="center"/>
    </xf>
  </cellStyleXfs>
  <cellXfs count="3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3CD"/>
      <rgbColor rgb="00D9E7F7"/>
      <rgbColor rgb="00660066"/>
      <rgbColor rgb="00FF8080"/>
      <rgbColor rgb="000066CC"/>
      <rgbColor rgb="00F3F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6FC"/>
      <rgbColor rgb="00F4F9F1"/>
      <rgbColor rgb="00FBF7EE"/>
      <rgbColor rgb="00FDF2F2"/>
      <rgbColor rgb="00FF99CC"/>
      <rgbColor rgb="00CC99FF"/>
      <rgbColor rgb="00F8D7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ColWidth="8.6796875" defaultRowHeight="16.8"/>
  <cols>
    <col width="120" customWidth="1" min="1" max="1"/>
  </cols>
  <sheetData>
    <row r="1" ht="21" customHeight="1">
      <c r="A1" s="34" t="inlineStr">
        <is>
          <t>B0XXXXXXXX｜A+ 与 Brand Story 文案 v1</t>
        </is>
      </c>
    </row>
    <row r="2">
      <c r="A2" s="35" t="inlineStr">
        <is>
          <t>ASIN：B0XXXXXXXX（Amazon US）｜ZAB Urolithin A 700mg，90粒，45份｜编写日期：2026-09-28</t>
        </is>
      </c>
    </row>
    <row r="3">
      <c r="A3" s="35" t="n"/>
    </row>
    <row r="4" ht="17" customHeight="1">
      <c r="A4" s="36" t="inlineStr">
        <is>
          <t>怎么用这份表</t>
        </is>
      </c>
    </row>
    <row r="5">
      <c r="A5" s="35" t="inlineStr">
        <is>
          <t>1. 「文案总表」每行对应构图里的一个文字位。设计直接复制E列（新英文文案），F列是备选句。</t>
        </is>
      </c>
    </row>
    <row r="6">
      <c r="A6" s="35" t="inlineStr">
        <is>
          <t>2. 文案里的 **…** 表示加粗，*…* 表示红色斜体，句尾单独的 * 是功能声明星号（要和FDA免责声明对应）。单元格里怎么换行，排版就怎么换行。</t>
        </is>
      </c>
    </row>
    <row r="7">
      <c r="A7" s="35" t="inlineStr">
        <is>
          <t>3. H列/I列用 LEN 公式统计新文案和占位原文的字符数，J列是两者差值（正数=比原稿长）。差值超过 +10 的位置，需要设计检查是否放得下。</t>
        </is>
      </c>
    </row>
    <row r="8">
      <c r="A8" s="35" t="inlineStr">
        <is>
          <t>4. 「设计修改清单」列出图片或素材层面要改的地方（不是文案），上线前需要逐项关掉。</t>
        </is>
      </c>
    </row>
    <row r="9">
      <c r="A9" s="35" t="inlineStr">
        <is>
          <t>5. 「事实依据」列出每条文案引用的事实编号（F01…）及出处。</t>
        </is>
      </c>
    </row>
    <row r="10">
      <c r="A10" s="35" t="n"/>
    </row>
    <row r="11" ht="17" customHeight="1">
      <c r="A11" s="36" t="inlineStr">
        <is>
          <t>本次已确认的决定（2026-09-28）</t>
        </is>
      </c>
    </row>
    <row r="12">
      <c r="A12" s="37" t="inlineStr">
        <is>
          <t>品牌名只用 ZAB；图1走“肠道转化因人而异”的科普角度；图4的4个额外徽章保留；交付格式为Excel。</t>
        </is>
      </c>
    </row>
    <row r="13">
      <c r="A13" s="35" t="n"/>
    </row>
    <row r="14" ht="17" customHeight="1">
      <c r="A14" s="36" t="inlineStr">
        <is>
          <t>写作规则（参照OLENPHOGY方法库）</t>
        </is>
      </c>
    </row>
    <row r="15" ht="31" customHeight="1">
      <c r="A15" s="37" t="inlineStr">
        <is>
          <t>每个数字都写清对象、单位和每份基准（700mg = 每份2粒）；A+按“问题→机制→核对→信任”的顺序读，每张图承接上一张；对比不用泛指的OTHERS；食物图只作视觉示意；不写抗衰老、逆转、保证见效、吸收率百分比；功能宣称加*，并放FDA免责声明。</t>
        </is>
      </c>
    </row>
    <row r="16">
      <c r="A16" s="35" t="n"/>
    </row>
    <row r="17" ht="17" customHeight="1">
      <c r="A17" s="36" t="inlineStr">
        <is>
          <t>尺寸提示</t>
        </is>
      </c>
    </row>
    <row r="18">
      <c r="A18" s="37" t="inlineStr">
        <is>
          <t>当前Canva构图是4:3（1800×1350），与Premium A+移动端的600×450比例一致。如果还要做1464×600的桌面版，需要重新排版，字数可以沿用本表。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tabSelected="1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796875" defaultRowHeight="16.8"/>
  <cols>
    <col width="8" customWidth="1" min="1" max="1"/>
    <col width="10" customWidth="1" min="2" max="2"/>
    <col width="16" customWidth="1" min="3" max="3"/>
    <col width="24" customWidth="1" min="4" max="4"/>
    <col width="44" customWidth="1" min="5" max="5"/>
    <col width="34" customWidth="1" min="6" max="6"/>
    <col width="28" customWidth="1" min="7" max="7"/>
    <col width="9" customWidth="1" min="8" max="9"/>
    <col width="7" customWidth="1" min="10" max="10"/>
    <col width="34" customWidth="1" min="11" max="11"/>
    <col width="12" customWidth="1" min="12" max="12"/>
    <col width="52" customWidth="1" min="13" max="13"/>
  </cols>
  <sheetData>
    <row r="1" ht="30" customHeight="1">
      <c r="A1" s="8" t="inlineStr">
        <is>
          <t>编号</t>
        </is>
      </c>
      <c r="B1" s="8" t="inlineStr">
        <is>
          <t>图片</t>
        </is>
      </c>
      <c r="C1" s="8" t="inlineStr">
        <is>
          <t>构图文件</t>
        </is>
      </c>
      <c r="D1" s="8" t="inlineStr">
        <is>
          <t>文字位置</t>
        </is>
      </c>
      <c r="E1" s="8" t="inlineStr">
        <is>
          <t>新英文文案</t>
        </is>
      </c>
      <c r="F1" s="8" t="inlineStr">
        <is>
          <t>备选英文</t>
        </is>
      </c>
      <c r="G1" s="8" t="inlineStr">
        <is>
          <t>中文释义</t>
        </is>
      </c>
      <c r="H1" s="8" t="inlineStr">
        <is>
          <t>新文案字符数</t>
        </is>
      </c>
      <c r="I1" s="8" t="inlineStr">
        <is>
          <t>占位原文字符数</t>
        </is>
      </c>
      <c r="J1" s="8" t="inlineStr">
        <is>
          <t>差值</t>
        </is>
      </c>
      <c r="K1" s="8" t="inlineStr">
        <is>
          <t>占位原文（设计稿）</t>
        </is>
      </c>
      <c r="L1" s="8" t="inlineStr">
        <is>
          <t>事实依据</t>
        </is>
      </c>
      <c r="M1" s="8" t="inlineStr">
        <is>
          <t>合规 / 设计备注</t>
        </is>
      </c>
    </row>
    <row r="2" ht="31" customHeight="1">
      <c r="A2" s="9" t="inlineStr">
        <is>
          <t>A1-01</t>
        </is>
      </c>
      <c r="B2" s="9" t="inlineStr">
        <is>
          <t>A+图1</t>
        </is>
      </c>
      <c r="C2" s="9" t="inlineStr">
        <is>
          <t>A+纯图1.png</t>
        </is>
      </c>
      <c r="D2" s="10" t="inlineStr">
        <is>
          <t>左侧引语（带引号，4行）</t>
        </is>
      </c>
      <c r="E2" s="11" t="inlineStr">
        <is>
          <t>Counting on Pomegranates for Urolithin A?</t>
        </is>
      </c>
      <c r="F2" s="9" t="inlineStr">
        <is>
          <t>Eating Pomegranates for Urolithin A?</t>
        </is>
      </c>
      <c r="G2" s="10" t="inlineStr">
        <is>
          <t>你是不是指望靠吃石榴来获得尿石素A？</t>
        </is>
      </c>
      <c r="H2" s="9">
        <f>LEN(E2)</f>
        <v/>
      </c>
      <c r="I2" s="9">
        <f>IF(OR(K2="—",LEFT(K2,1)="（"),"",LEN(K2))</f>
        <v/>
      </c>
      <c r="J2" s="9">
        <f>IF(I2="","",H2-I2)</f>
        <v/>
      </c>
      <c r="K2" s="12" t="inlineStr">
        <is>
          <t>Are You Taking Magnesium but Feeling No Difference?</t>
        </is>
      </c>
      <c r="L2" s="9" t="inlineStr">
        <is>
          <t>F12</t>
        </is>
      </c>
      <c r="M2" s="10" t="inlineStr">
        <is>
          <t>开头用顾客的口吻提问，把话题引到“从食物转化因人而异”。不否定石榴本身，也不暗示吃石榴无效。</t>
        </is>
      </c>
    </row>
    <row r="3" ht="31" customHeight="1">
      <c r="A3" s="9" t="inlineStr">
        <is>
          <t>A1-02</t>
        </is>
      </c>
      <c r="B3" s="9" t="inlineStr">
        <is>
          <t>A+图1</t>
        </is>
      </c>
      <c r="C3" s="9" t="inlineStr">
        <is>
          <t>A+纯图1.png</t>
        </is>
      </c>
      <c r="D3" s="10" t="inlineStr">
        <is>
          <t>主标题（2行）</t>
        </is>
      </c>
      <c r="E3" s="11" t="inlineStr">
        <is>
          <t>Skip the
Conversion Step.</t>
        </is>
      </c>
      <c r="F3" s="9" t="inlineStr">
        <is>
          <t>Get It
Ready-Made.</t>
        </is>
      </c>
      <c r="G3" s="10" t="inlineStr">
        <is>
          <t>跳过体内转化这一步。</t>
        </is>
      </c>
      <c r="H3" s="9">
        <f>LEN(E3)</f>
        <v/>
      </c>
      <c r="I3" s="9">
        <f>IF(OR(K3="—",LEFT(K3,1)="（"),"",LEN(K3))</f>
        <v/>
      </c>
      <c r="J3" s="9">
        <f>IF(I3="","",H3-I3)</f>
        <v/>
      </c>
      <c r="K3" s="12" t="inlineStr">
        <is>
          <t>Magnesium
Form Matters</t>
        </is>
      </c>
      <c r="L3" s="9" t="inlineStr">
        <is>
          <t>F12, F01</t>
        </is>
      </c>
      <c r="M3" s="10" t="inlineStr">
        <is>
          <t>字号和字重沿用原版。换行位置照写。</t>
        </is>
      </c>
    </row>
    <row r="4" ht="31" customHeight="1">
      <c r="A4" s="9" t="inlineStr">
        <is>
          <t>A1-03</t>
        </is>
      </c>
      <c r="B4" s="9" t="inlineStr">
        <is>
          <t>A+图1</t>
        </is>
      </c>
      <c r="C4" s="9" t="inlineStr">
        <is>
          <t>A+纯图1.png</t>
        </is>
      </c>
      <c r="D4" s="10" t="inlineStr">
        <is>
          <t>副标题（单行小字）</t>
        </is>
      </c>
      <c r="E4" s="11" t="inlineStr">
        <is>
          <t>700mg Urolithin A per serving. No conversion needed.</t>
        </is>
      </c>
      <c r="F4" s="9" t="inlineStr">
        <is>
          <t>Pre-formed Urolithin A. 700mg per 2 capsules.</t>
        </is>
      </c>
      <c r="G4" s="10" t="inlineStr">
        <is>
          <t>每份700mg尿石素A，无需身体再转化。</t>
        </is>
      </c>
      <c r="H4" s="9">
        <f>LEN(E4)</f>
        <v/>
      </c>
      <c r="I4" s="9">
        <f>IF(OR(K4="—",LEFT(K4,1)="（"),"",LEN(K4))</f>
        <v/>
      </c>
      <c r="J4" s="9">
        <f>IF(I4="","",H4-I4)</f>
        <v/>
      </c>
      <c r="K4" s="12" t="inlineStr">
        <is>
          <t>No Magnesium Oxide. Non-Buffered Formula.</t>
        </is>
      </c>
      <c r="L4" s="9" t="inlineStr">
        <is>
          <t>F01</t>
        </is>
      </c>
      <c r="M4" s="10" t="inlineStr">
        <is>
          <t>意思只是“产品直接含尿石素A”，不写吸收率、生物利用度或功效上的比较。</t>
        </is>
      </c>
    </row>
    <row r="5" ht="46" customHeight="1">
      <c r="A5" s="9" t="inlineStr">
        <is>
          <t>A1-04</t>
        </is>
      </c>
      <c r="B5" s="9" t="inlineStr">
        <is>
          <t>A+图1</t>
        </is>
      </c>
      <c r="C5" s="9" t="inlineStr">
        <is>
          <t>A+纯图1.png</t>
        </is>
      </c>
      <c r="D5" s="10" t="inlineStr">
        <is>
          <t>格子1（大，左上·原无花果）</t>
        </is>
      </c>
      <c r="E5" s="11" t="inlineStr">
        <is>
          <t>Ellagitannin-Rich Foods</t>
        </is>
      </c>
      <c r="F5" s="9" t="inlineStr">
        <is>
          <t>Found in Pomegranates</t>
        </is>
      </c>
      <c r="G5" s="10" t="inlineStr">
        <is>
          <t>富含鞣花单宁的食物</t>
        </is>
      </c>
      <c r="H5" s="9">
        <f>LEN(E5)</f>
        <v/>
      </c>
      <c r="I5" s="9">
        <f>IF(OR(K5="—",LEFT(K5,1)="（"),"",LEN(K5))</f>
        <v/>
      </c>
      <c r="J5" s="9">
        <f>IF(I5="","",H5-I5)</f>
        <v/>
      </c>
      <c r="K5" s="12" t="inlineStr">
        <is>
          <t>Chelated Bisglycinate</t>
        </is>
      </c>
      <c r="L5" s="9" t="inlineStr">
        <is>
          <t>F12</t>
        </is>
      </c>
      <c r="M5" s="10" t="inlineStr">
        <is>
          <t>格子文字超过21个字符可以折成2行。上面3格讲“食物这条路”。建议配石榴或核桃图。这里的食物图对应的是真实的鞣花单宁食物，不代表产品原料。</t>
        </is>
      </c>
    </row>
    <row r="6">
      <c r="A6" s="9" t="inlineStr">
        <is>
          <t>A1-05</t>
        </is>
      </c>
      <c r="B6" s="9" t="inlineStr">
        <is>
          <t>A+图1</t>
        </is>
      </c>
      <c r="C6" s="9" t="inlineStr">
        <is>
          <t>A+纯图1.png</t>
        </is>
      </c>
      <c r="D6" s="10" t="inlineStr">
        <is>
          <t>格子2（大，中上·原蓝莓）</t>
        </is>
      </c>
      <c r="E6" s="11" t="inlineStr">
        <is>
          <t>Made by Gut Microbes</t>
        </is>
      </c>
      <c r="F6" s="9" t="inlineStr">
        <is>
          <t>Made in Your Gut</t>
        </is>
      </c>
      <c r="G6" s="10" t="inlineStr">
        <is>
          <t>由肠道菌群转化</t>
        </is>
      </c>
      <c r="H6" s="9">
        <f>LEN(E6)</f>
        <v/>
      </c>
      <c r="I6" s="9">
        <f>IF(OR(K6="—",LEFT(K6,1)="（"),"",LEN(K6))</f>
        <v/>
      </c>
      <c r="J6" s="9">
        <f>IF(I6="","",H6-I6)</f>
        <v/>
      </c>
      <c r="K6" s="12" t="inlineStr">
        <is>
          <t>Citrate</t>
        </is>
      </c>
      <c r="L6" s="9" t="inlineStr">
        <is>
          <t>F12</t>
        </is>
      </c>
      <c r="M6" s="10" t="inlineStr">
        <is>
          <t>建议配抽象的肠道或菌群示意图，或者浆果。</t>
        </is>
      </c>
    </row>
    <row r="7" ht="31" customHeight="1">
      <c r="A7" s="9" t="inlineStr">
        <is>
          <t>A1-06</t>
        </is>
      </c>
      <c r="B7" s="9" t="inlineStr">
        <is>
          <t>A+图1</t>
        </is>
      </c>
      <c r="C7" s="9" t="inlineStr">
        <is>
          <t>A+纯图1.png</t>
        </is>
      </c>
      <c r="D7" s="10" t="inlineStr">
        <is>
          <t>格子3（右上·原猕猴桃）</t>
        </is>
      </c>
      <c r="E7" s="11" t="inlineStr">
        <is>
          <t>Output Varies by Person</t>
        </is>
      </c>
      <c r="F7" s="9" t="inlineStr">
        <is>
          <t>Not Everyone Makes It Equally</t>
        </is>
      </c>
      <c r="G7" s="10" t="inlineStr">
        <is>
          <t>每个人的转化量不同</t>
        </is>
      </c>
      <c r="H7" s="9">
        <f>LEN(E7)</f>
        <v/>
      </c>
      <c r="I7" s="9">
        <f>IF(OR(K7="—",LEFT(K7,1)="（"),"",LEN(K7))</f>
        <v/>
      </c>
      <c r="J7" s="9">
        <f>IF(I7="","",H7-I7)</f>
        <v/>
      </c>
      <c r="K7" s="12" t="inlineStr">
        <is>
          <t>Orotate</t>
        </is>
      </c>
      <c r="L7" s="9" t="inlineStr">
        <is>
          <t>F12</t>
        </is>
      </c>
      <c r="M7" s="10" t="inlineStr">
        <is>
          <t>这一格是整张图的关键限定语，只写“因人而异”，不写具体百分比。要写比例，必须附上研究出处。</t>
        </is>
      </c>
    </row>
    <row r="8" ht="31" customHeight="1">
      <c r="A8" s="9" t="inlineStr">
        <is>
          <t>A1-07</t>
        </is>
      </c>
      <c r="B8" s="9" t="inlineStr">
        <is>
          <t>A+图1</t>
        </is>
      </c>
      <c r="C8" s="9" t="inlineStr">
        <is>
          <t>A+纯图1.png</t>
        </is>
      </c>
      <c r="D8" s="10" t="inlineStr">
        <is>
          <t>格子4（大，左下·原杏仁）</t>
        </is>
      </c>
      <c r="E8" s="11" t="inlineStr">
        <is>
          <t>700mg Per Serving</t>
        </is>
      </c>
      <c r="F8" s="9" t="inlineStr">
        <is>
          <t>700mg Urolithin A</t>
        </is>
      </c>
      <c r="G8" s="10" t="inlineStr">
        <is>
          <t>每份700mg</t>
        </is>
      </c>
      <c r="H8" s="9">
        <f>LEN(E8)</f>
        <v/>
      </c>
      <c r="I8" s="9">
        <f>IF(OR(K8="—",LEFT(K8,1)="（"),"",LEN(K8))</f>
        <v/>
      </c>
      <c r="J8" s="9">
        <f>IF(I8="","",H8-I8)</f>
        <v/>
      </c>
      <c r="K8" s="12" t="inlineStr">
        <is>
          <t>Malate</t>
        </is>
      </c>
      <c r="L8" s="9" t="inlineStr">
        <is>
          <t>F01</t>
        </is>
      </c>
      <c r="M8" s="10" t="inlineStr">
        <is>
          <t>下面5格讲“ZAB这条路”。建议配产品瓶或胶囊图。设计可以在两排之间加一条细分隔线。</t>
        </is>
      </c>
    </row>
    <row r="9">
      <c r="A9" s="9" t="inlineStr">
        <is>
          <t>A1-08</t>
        </is>
      </c>
      <c r="B9" s="9" t="inlineStr">
        <is>
          <t>A+图1</t>
        </is>
      </c>
      <c r="C9" s="9" t="inlineStr">
        <is>
          <t>A+纯图1.png</t>
        </is>
      </c>
      <c r="D9" s="10" t="inlineStr">
        <is>
          <t>格子5（大，中下·原樱桃）</t>
        </is>
      </c>
      <c r="E9" s="11" t="inlineStr">
        <is>
          <t>Pomegranate Peel Extract</t>
        </is>
      </c>
      <c r="F9" s="9" t="inlineStr">
        <is>
          <t>From Pomegranate Peel</t>
        </is>
      </c>
      <c r="G9" s="10" t="inlineStr">
        <is>
          <t>来源：石榴皮提取物</t>
        </is>
      </c>
      <c r="H9" s="9">
        <f>LEN(E9)</f>
        <v/>
      </c>
      <c r="I9" s="9">
        <f>IF(OR(K9="—",LEFT(K9,1)="（"),"",LEN(K9))</f>
        <v/>
      </c>
      <c r="J9" s="9">
        <f>IF(I9="","",H9-I9)</f>
        <v/>
      </c>
      <c r="K9" s="12" t="inlineStr">
        <is>
          <t>Taurate</t>
        </is>
      </c>
      <c r="L9" s="9" t="inlineStr">
        <is>
          <t>F10</t>
        </is>
      </c>
      <c r="M9" s="10" t="inlineStr">
        <is>
          <t>来源依据是构图4的Supplement Facts，务必与实物标签一致。</t>
        </is>
      </c>
    </row>
    <row r="10">
      <c r="A10" s="9" t="inlineStr">
        <is>
          <t>A1-09</t>
        </is>
      </c>
      <c r="B10" s="9" t="inlineStr">
        <is>
          <t>A+图1</t>
        </is>
      </c>
      <c r="C10" s="9" t="inlineStr">
        <is>
          <t>A+纯图1.png</t>
        </is>
      </c>
      <c r="D10" s="10" t="inlineStr">
        <is>
          <t>格子6（右中·原牛油果）</t>
        </is>
      </c>
      <c r="E10" s="11" t="inlineStr">
        <is>
          <t>Made with MCT Oil</t>
        </is>
      </c>
      <c r="F10" s="9" t="inlineStr">
        <is>
          <t>MCT Oil Base</t>
        </is>
      </c>
      <c r="G10" s="10" t="inlineStr">
        <is>
          <t>含MCT油</t>
        </is>
      </c>
      <c r="H10" s="9">
        <f>LEN(E10)</f>
        <v/>
      </c>
      <c r="I10" s="9">
        <f>IF(OR(K10="—",LEFT(K10,1)="（"),"",LEN(K10))</f>
        <v/>
      </c>
      <c r="J10" s="9">
        <f>IF(I10="","",H10-I10)</f>
        <v/>
      </c>
      <c r="K10" s="12" t="inlineStr">
        <is>
          <t>Vitamin B6 (as P5P)</t>
        </is>
      </c>
      <c r="L10" s="9" t="inlineStr">
        <is>
          <t>F03</t>
        </is>
      </c>
      <c r="M10" s="10" t="inlineStr">
        <is>
          <t>只写配方里有MCT油，不写它“提升吸收”。listing没有这类依据。</t>
        </is>
      </c>
    </row>
    <row r="11">
      <c r="A11" s="9" t="inlineStr">
        <is>
          <t>A1-10</t>
        </is>
      </c>
      <c r="B11" s="9" t="inlineStr">
        <is>
          <t>A+图1</t>
        </is>
      </c>
      <c r="C11" s="9" t="inlineStr">
        <is>
          <t>A+纯图1.png</t>
        </is>
      </c>
      <c r="D11" s="10" t="inlineStr">
        <is>
          <t>格子7（小·原黑胡椒）</t>
        </is>
      </c>
      <c r="E11" s="11" t="inlineStr">
        <is>
          <t>Sunflower Lecithin</t>
        </is>
      </c>
      <c r="F11" s="9" t="inlineStr">
        <is>
          <t>With Lecithin</t>
        </is>
      </c>
      <c r="G11" s="10" t="inlineStr">
        <is>
          <t>葵花卵磷脂</t>
        </is>
      </c>
      <c r="H11" s="9">
        <f>LEN(E11)</f>
        <v/>
      </c>
      <c r="I11" s="9">
        <f>IF(OR(K11="—",LEFT(K11,1)="（"),"",LEN(K11))</f>
        <v/>
      </c>
      <c r="J11" s="9">
        <f>IF(I11="","",H11-I11)</f>
        <v/>
      </c>
      <c r="K11" s="12" t="inlineStr">
        <is>
          <t>Black Pepper</t>
        </is>
      </c>
      <c r="L11" s="9" t="inlineStr">
        <is>
          <t>F03</t>
        </is>
      </c>
      <c r="M11" s="10" t="inlineStr">
        <is>
          <t>小格子，字数尽量控制在18个字符以内。</t>
        </is>
      </c>
    </row>
    <row r="12">
      <c r="A12" s="9" t="inlineStr">
        <is>
          <t>A1-11</t>
        </is>
      </c>
      <c r="B12" s="9" t="inlineStr">
        <is>
          <t>A+图1</t>
        </is>
      </c>
      <c r="C12" s="9" t="inlineStr">
        <is>
          <t>A+纯图1.png</t>
        </is>
      </c>
      <c r="D12" s="10" t="inlineStr">
        <is>
          <t>格子8（小·原蘑菇）</t>
        </is>
      </c>
      <c r="E12" s="11" t="inlineStr">
        <is>
          <t>2 Capsules Daily</t>
        </is>
      </c>
      <c r="F12" s="9" t="inlineStr">
        <is>
          <t>Just 2 a Day</t>
        </is>
      </c>
      <c r="G12" s="10" t="inlineStr">
        <is>
          <t>每日2粒</t>
        </is>
      </c>
      <c r="H12" s="9">
        <f>LEN(E12)</f>
        <v/>
      </c>
      <c r="I12" s="9">
        <f>IF(OR(K12="—",LEFT(K12,1)="（"),"",LEN(K12))</f>
        <v/>
      </c>
      <c r="J12" s="9">
        <f>IF(I12="","",H12-I12)</f>
        <v/>
      </c>
      <c r="K12" s="12" t="inlineStr">
        <is>
          <t>Zinc Picolinate</t>
        </is>
      </c>
      <c r="L12" s="9" t="inlineStr">
        <is>
          <t>F06</t>
        </is>
      </c>
      <c r="M12" s="9" t="inlineStr">
        <is>
          <t>listing写的是每日2粒、用水送服，没有规定服用时段，所以不写“once”。</t>
        </is>
      </c>
    </row>
    <row r="13">
      <c r="A13" s="9" t="inlineStr">
        <is>
          <t>A1-12</t>
        </is>
      </c>
      <c r="B13" s="9" t="inlineStr">
        <is>
          <t>A+图1</t>
        </is>
      </c>
      <c r="C13" s="9" t="inlineStr">
        <is>
          <t>A+纯图1.png</t>
        </is>
      </c>
      <c r="D13" s="10" t="inlineStr">
        <is>
          <t>【可选新增】两排格子的小标签</t>
        </is>
      </c>
      <c r="E13" s="11" t="inlineStr">
        <is>
          <t>THE FOOD ROUTE  /  THE ZAB ROUTE</t>
        </is>
      </c>
      <c r="F13" s="9" t="inlineStr">
        <is>
          <t>FROM FOOD  /  FROM ZAB</t>
        </is>
      </c>
      <c r="G13" s="10" t="inlineStr">
        <is>
          <t>食物路径 / ZAB路径</t>
        </is>
      </c>
      <c r="H13" s="9">
        <f>LEN(E13)</f>
        <v/>
      </c>
      <c r="I13" s="9">
        <f>IF(OR(K13="—",LEFT(K13,1)="（"),"",LEN(K13))</f>
        <v/>
      </c>
      <c r="J13" s="9">
        <f>IF(I13="","",H13-I13)</f>
        <v/>
      </c>
      <c r="K13" s="13" t="inlineStr">
        <is>
          <t>（无）</t>
        </is>
      </c>
      <c r="L13" s="9" t="inlineStr">
        <is>
          <t>F12</t>
        </is>
      </c>
      <c r="M13" s="10" t="inlineStr">
        <is>
          <t>可选。加上后上下两排的对比一眼就能看懂。放不下可以不加。</t>
        </is>
      </c>
    </row>
    <row r="14" ht="31" customHeight="1">
      <c r="A14" s="14" t="inlineStr">
        <is>
          <t>A2-01</t>
        </is>
      </c>
      <c r="B14" s="14" t="inlineStr">
        <is>
          <t>A+图2</t>
        </is>
      </c>
      <c r="C14" s="14" t="inlineStr">
        <is>
          <t>A+-连图-纯图2.png</t>
        </is>
      </c>
      <c r="D14" s="15" t="inlineStr">
        <is>
          <t>顶部大标题</t>
        </is>
      </c>
      <c r="E14" s="16" t="inlineStr">
        <is>
          <t>Know Exactly What You're Taking.</t>
        </is>
      </c>
      <c r="F14" s="14" t="inlineStr">
        <is>
          <t>Read the Label First.</t>
        </is>
      </c>
      <c r="G14" s="15" t="inlineStr">
        <is>
          <t>清楚知道你吃进去的是什么。</t>
        </is>
      </c>
      <c r="H14" s="14">
        <f>LEN(E14)</f>
        <v/>
      </c>
      <c r="I14" s="14">
        <f>IF(OR(K14="—",LEFT(K14,1)="（"),"",LEN(K14))</f>
        <v/>
      </c>
      <c r="J14" s="14">
        <f>IF(I14="","",H14-I14)</f>
        <v/>
      </c>
      <c r="K14" s="17" t="inlineStr">
        <is>
          <t>Staff Struggle To Process.</t>
        </is>
      </c>
      <c r="L14" s="14" t="inlineStr">
        <is>
          <t>F01, F10</t>
        </is>
      </c>
      <c r="M14" s="15" t="inlineStr">
        <is>
          <t>承接图1“直接补充”的思路，转到“看标签选产品”。和店铺名Transparent by Design呼应。</t>
        </is>
      </c>
    </row>
    <row r="15" ht="31" customHeight="1">
      <c r="A15" s="14" t="inlineStr">
        <is>
          <t>A2-02</t>
        </is>
      </c>
      <c r="B15" s="14" t="inlineStr">
        <is>
          <t>A+图2</t>
        </is>
      </c>
      <c r="C15" s="14" t="inlineStr">
        <is>
          <t>A+-连图-纯图2.png</t>
        </is>
      </c>
      <c r="D15" s="15" t="inlineStr">
        <is>
          <t>左栏表头（灰）</t>
        </is>
      </c>
      <c r="E15" s="16" t="inlineStr">
        <is>
          <t>VAGUE LABELS</t>
        </is>
      </c>
      <c r="F15" s="14" t="inlineStr">
        <is>
          <t>UNCLEAR LABELS</t>
        </is>
      </c>
      <c r="G15" s="15" t="inlineStr">
        <is>
          <t>标签含糊的产品</t>
        </is>
      </c>
      <c r="H15" s="14">
        <f>LEN(E15)</f>
        <v/>
      </c>
      <c r="I15" s="14">
        <f>IF(OR(K15="—",LEFT(K15,1)="（"),"",LEN(K15))</f>
        <v/>
      </c>
      <c r="J15" s="14">
        <f>IF(I15="","",H15-I15)</f>
        <v/>
      </c>
      <c r="K15" s="17" t="inlineStr">
        <is>
          <t>OTHERS</t>
        </is>
      </c>
      <c r="L15" s="14" t="inlineStr">
        <is>
          <t>—</t>
        </is>
      </c>
      <c r="M15" s="15" t="inlineStr">
        <is>
          <t>按方法库规则，不用泛指的“OTHERS”。这里按“标签含糊”这个属性来定义，不点名，也不暗示整个品类都这样。</t>
        </is>
      </c>
    </row>
    <row r="16">
      <c r="A16" s="14" t="inlineStr">
        <is>
          <t>A2-03</t>
        </is>
      </c>
      <c r="B16" s="14" t="inlineStr">
        <is>
          <t>A+图2</t>
        </is>
      </c>
      <c r="C16" s="14" t="inlineStr">
        <is>
          <t>A+-连图-纯图2.png</t>
        </is>
      </c>
      <c r="D16" s="15" t="inlineStr">
        <is>
          <t>左栏第1行</t>
        </is>
      </c>
      <c r="E16" s="16" t="inlineStr">
        <is>
          <t>Dose Hidden in a Blend</t>
        </is>
      </c>
      <c r="F16" s="14" t="inlineStr">
        <is>
          <t>Dose Not Clearly Stated</t>
        </is>
      </c>
      <c r="G16" s="15" t="inlineStr">
        <is>
          <t>剂量藏在复合配方里</t>
        </is>
      </c>
      <c r="H16" s="14">
        <f>LEN(E16)</f>
        <v/>
      </c>
      <c r="I16" s="14">
        <f>IF(OR(K16="—",LEFT(K16,1)="（"),"",LEN(K16))</f>
        <v/>
      </c>
      <c r="J16" s="14">
        <f>IF(I16="","",H16-I16)</f>
        <v/>
      </c>
      <c r="K16" s="17" t="inlineStr">
        <is>
          <t>Frequent Order Mistakes</t>
        </is>
      </c>
      <c r="L16" s="14" t="inlineStr">
        <is>
          <t>—</t>
        </is>
      </c>
      <c r="M16" s="15" t="inlineStr">
        <is>
          <t>和右栏第1行对应：剂量。</t>
        </is>
      </c>
    </row>
    <row r="17">
      <c r="A17" s="14" t="inlineStr">
        <is>
          <t>A2-04</t>
        </is>
      </c>
      <c r="B17" s="14" t="inlineStr">
        <is>
          <t>A+图2</t>
        </is>
      </c>
      <c r="C17" s="14" t="inlineStr">
        <is>
          <t>A+-连图-纯图2.png</t>
        </is>
      </c>
      <c r="D17" s="15" t="inlineStr">
        <is>
          <t>左栏第2行</t>
        </is>
      </c>
      <c r="E17" s="16" t="inlineStr">
        <is>
          <t>Source Not Disclosed</t>
        </is>
      </c>
      <c r="F17" s="14" t="inlineStr">
        <is>
          <t>Source Unclear</t>
        </is>
      </c>
      <c r="G17" s="15" t="inlineStr">
        <is>
          <t>没有标注来源</t>
        </is>
      </c>
      <c r="H17" s="14">
        <f>LEN(E17)</f>
        <v/>
      </c>
      <c r="I17" s="14">
        <f>IF(OR(K17="—",LEFT(K17,1)="（"),"",LEN(K17))</f>
        <v/>
      </c>
      <c r="J17" s="14">
        <f>IF(I17="","",H17-I17)</f>
        <v/>
      </c>
      <c r="K17" s="17" t="inlineStr">
        <is>
          <t>Frequent Order Mistakes</t>
        </is>
      </c>
      <c r="L17" s="14" t="inlineStr">
        <is>
          <t>—</t>
        </is>
      </c>
      <c r="M17" s="15" t="inlineStr">
        <is>
          <t>和右栏第2行对应：来源。</t>
        </is>
      </c>
    </row>
    <row r="18">
      <c r="A18" s="14" t="inlineStr">
        <is>
          <t>A2-05</t>
        </is>
      </c>
      <c r="B18" s="14" t="inlineStr">
        <is>
          <t>A+图2</t>
        </is>
      </c>
      <c r="C18" s="14" t="inlineStr">
        <is>
          <t>A+-连图-纯图2.png</t>
        </is>
      </c>
      <c r="D18" s="15" t="inlineStr">
        <is>
          <t>左栏第3行</t>
        </is>
      </c>
      <c r="E18" s="16" t="inlineStr">
        <is>
          <t>Unclear Daily Serving</t>
        </is>
      </c>
      <c r="F18" s="14" t="inlineStr">
        <is>
          <t>Hard-to-Follow Serving</t>
        </is>
      </c>
      <c r="G18" s="15" t="inlineStr">
        <is>
          <t>每日用量不清楚</t>
        </is>
      </c>
      <c r="H18" s="14">
        <f>LEN(E18)</f>
        <v/>
      </c>
      <c r="I18" s="14">
        <f>IF(OR(K18="—",LEFT(K18,1)="（"),"",LEN(K18))</f>
        <v/>
      </c>
      <c r="J18" s="14">
        <f>IF(I18="","",H18-I18)</f>
        <v/>
      </c>
      <c r="K18" s="17" t="inlineStr">
        <is>
          <t>Frequent Order Mistakes</t>
        </is>
      </c>
      <c r="L18" s="14" t="inlineStr">
        <is>
          <t>—</t>
        </is>
      </c>
      <c r="M18" s="15" t="inlineStr">
        <is>
          <t>和右栏第3行对应：用法。</t>
        </is>
      </c>
    </row>
    <row r="19" ht="31" customHeight="1">
      <c r="A19" s="14" t="inlineStr">
        <is>
          <t>A2-06</t>
        </is>
      </c>
      <c r="B19" s="14" t="inlineStr">
        <is>
          <t>A+图2</t>
        </is>
      </c>
      <c r="C19" s="14" t="inlineStr">
        <is>
          <t>A+-连图-纯图2.png</t>
        </is>
      </c>
      <c r="D19" s="15" t="inlineStr">
        <is>
          <t>右栏表头（品牌Logo）</t>
        </is>
      </c>
      <c r="E19" s="16" t="inlineStr">
        <is>
          <t>ZAB</t>
        </is>
      </c>
      <c r="F19" s="14" t="inlineStr">
        <is>
          <t>—</t>
        </is>
      </c>
      <c r="G19" s="15" t="inlineStr">
        <is>
          <t>品牌名 ZAB</t>
        </is>
      </c>
      <c r="H19" s="14">
        <f>LEN(E19)</f>
        <v/>
      </c>
      <c r="I19" s="14">
        <f>IF(OR(K19="—",LEFT(K19,1)="（"),"",LEN(K19))</f>
        <v/>
      </c>
      <c r="J19" s="14">
        <f>IF(I19="","",H19-I19)</f>
        <v/>
      </c>
      <c r="K19" s="17" t="inlineStr">
        <is>
          <t>ZABORATORY powered by ▬</t>
        </is>
      </c>
      <c r="L19" s="14" t="inlineStr">
        <is>
          <t>F13</t>
        </is>
      </c>
      <c r="M19" s="15" t="inlineStr">
        <is>
          <t>已确认只用ZAB。请换成瓶身上实际的Zab Logo，去掉“ZABORATORY / POWERED BY”和红条。</t>
        </is>
      </c>
    </row>
    <row r="20">
      <c r="A20" s="14" t="inlineStr">
        <is>
          <t>A2-07</t>
        </is>
      </c>
      <c r="B20" s="14" t="inlineStr">
        <is>
          <t>A+图2</t>
        </is>
      </c>
      <c r="C20" s="14" t="inlineStr">
        <is>
          <t>A+-连图-纯图2.png</t>
        </is>
      </c>
      <c r="D20" s="15" t="inlineStr">
        <is>
          <t>右栏第1行（红勾）</t>
        </is>
      </c>
      <c r="E20" s="16" t="inlineStr">
        <is>
          <t>700mg Per Serving</t>
        </is>
      </c>
      <c r="F20" s="14" t="inlineStr">
        <is>
          <t>700mg in Every Serving</t>
        </is>
      </c>
      <c r="G20" s="15" t="inlineStr">
        <is>
          <t>每份700mg</t>
        </is>
      </c>
      <c r="H20" s="14">
        <f>LEN(E20)</f>
        <v/>
      </c>
      <c r="I20" s="14">
        <f>IF(OR(K20="—",LEFT(K20,1)="（"),"",LEN(K20))</f>
        <v/>
      </c>
      <c r="J20" s="14">
        <f>IF(I20="","",H20-I20)</f>
        <v/>
      </c>
      <c r="K20" s="17" t="inlineStr">
        <is>
          <t>Frequent Order Mistakes</t>
        </is>
      </c>
      <c r="L20" s="14" t="inlineStr">
        <is>
          <t>F01</t>
        </is>
      </c>
      <c r="M20" s="14" t="n"/>
    </row>
    <row r="21">
      <c r="A21" s="14" t="inlineStr">
        <is>
          <t>A2-08</t>
        </is>
      </c>
      <c r="B21" s="14" t="inlineStr">
        <is>
          <t>A+图2</t>
        </is>
      </c>
      <c r="C21" s="14" t="inlineStr">
        <is>
          <t>A+-连图-纯图2.png</t>
        </is>
      </c>
      <c r="D21" s="15" t="inlineStr">
        <is>
          <t>右栏第2行（红勾）</t>
        </is>
      </c>
      <c r="E21" s="16" t="inlineStr">
        <is>
          <t>Pomegranate Peel Extract</t>
        </is>
      </c>
      <c r="F21" s="14" t="inlineStr">
        <is>
          <t>Source Clearly Listed</t>
        </is>
      </c>
      <c r="G21" s="15" t="inlineStr">
        <is>
          <t>来源：石榴皮提取物</t>
        </is>
      </c>
      <c r="H21" s="14">
        <f>LEN(E21)</f>
        <v/>
      </c>
      <c r="I21" s="14">
        <f>IF(OR(K21="—",LEFT(K21,1)="（"),"",LEN(K21))</f>
        <v/>
      </c>
      <c r="J21" s="14">
        <f>IF(I21="","",H21-I21)</f>
        <v/>
      </c>
      <c r="K21" s="17" t="inlineStr">
        <is>
          <t>Unclear Item Selection</t>
        </is>
      </c>
      <c r="L21" s="14" t="inlineStr">
        <is>
          <t>F10</t>
        </is>
      </c>
      <c r="M21" s="14" t="n"/>
    </row>
    <row r="22">
      <c r="A22" s="14" t="inlineStr">
        <is>
          <t>A2-09</t>
        </is>
      </c>
      <c r="B22" s="14" t="inlineStr">
        <is>
          <t>A+图2</t>
        </is>
      </c>
      <c r="C22" s="14" t="inlineStr">
        <is>
          <t>A+-连图-纯图2.png</t>
        </is>
      </c>
      <c r="D22" s="15" t="inlineStr">
        <is>
          <t>右栏第3行（红勾）</t>
        </is>
      </c>
      <c r="E22" s="16" t="inlineStr">
        <is>
          <t>Just 2 Capsules Daily</t>
        </is>
      </c>
      <c r="F22" s="14" t="inlineStr">
        <is>
          <t>2 Capsules, With Water</t>
        </is>
      </c>
      <c r="G22" s="15" t="inlineStr">
        <is>
          <t>每日只需2粒</t>
        </is>
      </c>
      <c r="H22" s="14">
        <f>LEN(E22)</f>
        <v/>
      </c>
      <c r="I22" s="14">
        <f>IF(OR(K22="—",LEFT(K22,1)="（"),"",LEN(K22))</f>
        <v/>
      </c>
      <c r="J22" s="14">
        <f>IF(I22="","",H22-I22)</f>
        <v/>
      </c>
      <c r="K22" s="17" t="inlineStr">
        <is>
          <t>Process Orders Quickly</t>
        </is>
      </c>
      <c r="L22" s="14" t="inlineStr">
        <is>
          <t>F06</t>
        </is>
      </c>
      <c r="M22" s="14" t="n"/>
    </row>
    <row r="23" ht="46" customHeight="1">
      <c r="A23" s="14" t="inlineStr">
        <is>
          <t>A2-10</t>
        </is>
      </c>
      <c r="B23" s="14" t="inlineStr">
        <is>
          <t>A+图2</t>
        </is>
      </c>
      <c r="C23" s="14" t="inlineStr">
        <is>
          <t>A+-连图-纯图2.png</t>
        </is>
      </c>
      <c r="D23" s="15" t="inlineStr">
        <is>
          <t>底部过渡大标题（红色斜体部分用 *…* 标出）</t>
        </is>
      </c>
      <c r="E23" s="16" t="inlineStr">
        <is>
          <t>Energy Support Starts
in Your *Mitochondria*.*</t>
        </is>
      </c>
      <c r="F23" s="14" t="inlineStr">
        <is>
          <t>Support That Starts
*Inside Your Cells*.*</t>
        </is>
      </c>
      <c r="G23" s="15" t="inlineStr">
        <is>
          <t>能量支持，从线粒体开始。</t>
        </is>
      </c>
      <c r="H23" s="14">
        <f>LEN(E23)</f>
        <v/>
      </c>
      <c r="I23" s="14">
        <f>IF(OR(K23="—",LEFT(K23,1)="（"),"",LEN(K23))</f>
        <v/>
      </c>
      <c r="J23" s="14">
        <f>IF(I23="","",H23-I23)</f>
        <v/>
      </c>
      <c r="K23" s="17" t="inlineStr">
        <is>
          <t>Feel Good
from the *Inside Out*</t>
        </is>
      </c>
      <c r="L23" s="14" t="inlineStr">
        <is>
          <t>F08</t>
        </is>
      </c>
      <c r="M23" s="15" t="inlineStr">
        <is>
          <t>红色斜体只放“Mitochondria”。句尾的*是功能声明星号（结构/功能宣称），要和FDA免责声明对应。这句标题通过连图接到图3顶部的700mg那句。</t>
        </is>
      </c>
    </row>
    <row r="24" ht="46" customHeight="1">
      <c r="A24" s="14" t="inlineStr">
        <is>
          <t>A3-01</t>
        </is>
      </c>
      <c r="B24" s="14" t="inlineStr">
        <is>
          <t>A+图3</t>
        </is>
      </c>
      <c r="C24" s="14" t="inlineStr">
        <is>
          <t>A+-连图-纯图3.png</t>
        </is>
      </c>
      <c r="D24" s="15" t="inlineStr">
        <is>
          <t>顶部主句（“700mg”加粗斜体）</t>
        </is>
      </c>
      <c r="E24" s="16" t="inlineStr">
        <is>
          <t>**700mg** Urolithin A per serving to
support energy metabolism and
your active lifestyle.*</t>
        </is>
      </c>
      <c r="F24" s="14" t="inlineStr">
        <is>
          <t>**700mg** Urolithin A per serving to
support your energy metabolism.*</t>
        </is>
      </c>
      <c r="G24" s="15" t="inlineStr">
        <is>
          <t>每份700mg尿石素A，支持能量代谢与活跃生活。</t>
        </is>
      </c>
      <c r="H24" s="14">
        <f>LEN(E24)</f>
        <v/>
      </c>
      <c r="I24" s="14">
        <f>IF(OR(K24="—",LEFT(K24,1)="（"),"",LEN(K24))</f>
        <v/>
      </c>
      <c r="J24" s="14">
        <f>IF(I24="","",H24-I24)</f>
        <v/>
      </c>
      <c r="K24" s="17" t="inlineStr">
        <is>
          <t>**1,000mg** Urolithin A daily to
support your active lifestyle.*</t>
        </is>
      </c>
      <c r="L24" s="14" t="inlineStr">
        <is>
          <t>F01, F08</t>
        </is>
      </c>
      <c r="M24" s="15" t="inlineStr">
        <is>
          <t>【必改】原稿的1,000mg是同品牌1000mg软胶囊那款的数据，本ASIN是每2粒700mg。如果三行放不下，就用备选句。</t>
        </is>
      </c>
    </row>
    <row r="25">
      <c r="A25" s="14" t="inlineStr">
        <is>
          <t>A3-02</t>
        </is>
      </c>
      <c r="B25" s="14" t="inlineStr">
        <is>
          <t>A+图3</t>
        </is>
      </c>
      <c r="C25" s="14" t="inlineStr">
        <is>
          <t>A+-连图-纯图3.png</t>
        </is>
      </c>
      <c r="D25" s="14" t="inlineStr">
        <is>
          <t>Logo</t>
        </is>
      </c>
      <c r="E25" s="16" t="inlineStr">
        <is>
          <t>ZAB</t>
        </is>
      </c>
      <c r="F25" s="14" t="inlineStr">
        <is>
          <t>—</t>
        </is>
      </c>
      <c r="G25" s="15" t="inlineStr">
        <is>
          <t>品牌名 ZAB</t>
        </is>
      </c>
      <c r="H25" s="14">
        <f>LEN(E25)</f>
        <v/>
      </c>
      <c r="I25" s="14">
        <f>IF(OR(K25="—",LEFT(K25,1)="（"),"",LEN(K25))</f>
        <v/>
      </c>
      <c r="J25" s="14">
        <f>IF(I25="","",H25-I25)</f>
        <v/>
      </c>
      <c r="K25" s="17" t="inlineStr">
        <is>
          <t>ZABORATORY powered by ▬</t>
        </is>
      </c>
      <c r="L25" s="14" t="inlineStr">
        <is>
          <t>F13</t>
        </is>
      </c>
      <c r="M25" s="15" t="inlineStr">
        <is>
          <t>换成实际的Zab Logo。</t>
        </is>
      </c>
    </row>
    <row r="26" ht="31" customHeight="1">
      <c r="A26" s="14" t="inlineStr">
        <is>
          <t>A3-03</t>
        </is>
      </c>
      <c r="B26" s="14" t="inlineStr">
        <is>
          <t>A+图3</t>
        </is>
      </c>
      <c r="C26" s="14" t="inlineStr">
        <is>
          <t>A+-连图-纯图3.png</t>
        </is>
      </c>
      <c r="D26" s="15" t="inlineStr">
        <is>
          <t>底部品牌收尾句（红色斜体部分用 *…* 标出）</t>
        </is>
      </c>
      <c r="E26" s="16" t="inlineStr">
        <is>
          <t>Made for Every
*Active Day*.</t>
        </is>
      </c>
      <c r="F26" s="14" t="inlineStr">
        <is>
          <t>Feel Good
from the *Inside Out*.</t>
        </is>
      </c>
      <c r="G26" s="15" t="inlineStr">
        <is>
          <t>为每一个活跃的日子而生。</t>
        </is>
      </c>
      <c r="H26" s="14">
        <f>LEN(E26)</f>
        <v/>
      </c>
      <c r="I26" s="14">
        <f>IF(OR(K26="—",LEFT(K26,1)="（"),"",LEN(K26))</f>
        <v/>
      </c>
      <c r="J26" s="14">
        <f>IF(I26="","",H26-I26)</f>
        <v/>
      </c>
      <c r="K26" s="17" t="inlineStr">
        <is>
          <t>Feel Good
from the *Inside Out*</t>
        </is>
      </c>
      <c r="L26" s="14" t="inlineStr">
        <is>
          <t>F07, F14</t>
        </is>
      </c>
      <c r="M26" s="15" t="inlineStr">
        <is>
          <t>不写具体功效，所以不需要星号。配图是网球女性，和“for varied lifestyles”一致。</t>
        </is>
      </c>
    </row>
    <row r="27" ht="46" customHeight="1">
      <c r="A27" s="14" t="inlineStr">
        <is>
          <t>A3-04</t>
        </is>
      </c>
      <c r="B27" s="14" t="inlineStr">
        <is>
          <t>A+图3</t>
        </is>
      </c>
      <c r="C27" s="14" t="inlineStr">
        <is>
          <t>A+-连图-纯图3.png</t>
        </is>
      </c>
      <c r="D27" s="15" t="inlineStr">
        <is>
          <t>【新增】底边FDA免责声明（小字）</t>
        </is>
      </c>
      <c r="E27" s="16" t="inlineStr">
        <is>
          <t>*These statements have not been evaluated by the Food and Drug Administration. This product is not intended to diagnose, treat, cure, or prevent any disease.</t>
        </is>
      </c>
      <c r="F27" s="14" t="inlineStr">
        <is>
          <t>—</t>
        </is>
      </c>
      <c r="G27" s="14" t="inlineStr">
        <is>
          <t>FDA免责声明</t>
        </is>
      </c>
      <c r="H27" s="14">
        <f>LEN(E27)</f>
        <v/>
      </c>
      <c r="I27" s="14">
        <f>IF(OR(K27="—",LEFT(K27,1)="（"),"",LEN(K27))</f>
        <v/>
      </c>
      <c r="J27" s="14">
        <f>IF(I27="","",H27-I27)</f>
        <v/>
      </c>
      <c r="K27" s="18" t="inlineStr">
        <is>
          <t>（无）</t>
        </is>
      </c>
      <c r="L27" s="14" t="inlineStr">
        <is>
          <t>—</t>
        </is>
      </c>
      <c r="M27" s="15" t="inlineStr">
        <is>
          <t>图2和图3里有带*的功能宣称，所以图3底边要放。手机端最低也要看得清。</t>
        </is>
      </c>
    </row>
    <row r="28" ht="31" customHeight="1">
      <c r="A28" s="19" t="inlineStr">
        <is>
          <t>A4-01</t>
        </is>
      </c>
      <c r="B28" s="19" t="inlineStr">
        <is>
          <t>A+图4</t>
        </is>
      </c>
      <c r="C28" s="19" t="inlineStr">
        <is>
          <t>A+-纯图4.png</t>
        </is>
      </c>
      <c r="D28" s="20" t="inlineStr">
        <is>
          <t>左上主标题（2行：细体＋粗体）</t>
        </is>
      </c>
      <c r="E28" s="21" t="inlineStr">
        <is>
          <t>Energy Support*
**Simplified.**</t>
        </is>
      </c>
      <c r="F28" s="19" t="inlineStr">
        <is>
          <t>Daily Support
**Simplified.**</t>
        </is>
      </c>
      <c r="G28" s="20" t="inlineStr">
        <is>
          <t>能量支持，化繁为简。</t>
        </is>
      </c>
      <c r="H28" s="19">
        <f>LEN(E28)</f>
        <v/>
      </c>
      <c r="I28" s="19">
        <f>IF(OR(K28="—",LEFT(K28,1)="（"),"",LEN(K28))</f>
        <v/>
      </c>
      <c r="J28" s="19">
        <f>IF(I28="","",H28-I28)</f>
        <v/>
      </c>
      <c r="K28" s="22" t="inlineStr">
        <is>
          <t>Aging Support
**Simplified.**</t>
        </is>
      </c>
      <c r="L28" s="19" t="inlineStr">
        <is>
          <t>F08</t>
        </is>
      </c>
      <c r="M28" s="20" t="inlineStr">
        <is>
          <t>【必改】listing里没有“Aging”，改成listing已有的能量代谢方向。字数和原稿接近（14 vs 13），版式不用动。</t>
        </is>
      </c>
    </row>
    <row r="29">
      <c r="A29" s="19" t="inlineStr">
        <is>
          <t>A4-02</t>
        </is>
      </c>
      <c r="B29" s="19" t="inlineStr">
        <is>
          <t>A+图4</t>
        </is>
      </c>
      <c r="C29" s="19" t="inlineStr">
        <is>
          <t>A+-纯图4.png</t>
        </is>
      </c>
      <c r="D29" s="20" t="inlineStr">
        <is>
          <t>图标“1”旁小标题</t>
        </is>
      </c>
      <c r="E29" s="21" t="inlineStr">
        <is>
          <t>Single Ingredient</t>
        </is>
      </c>
      <c r="F29" s="19" t="inlineStr">
        <is>
          <t>One Active Ingredient</t>
        </is>
      </c>
      <c r="G29" s="20" t="inlineStr">
        <is>
          <t>单一成分</t>
        </is>
      </c>
      <c r="H29" s="19">
        <f>LEN(E29)</f>
        <v/>
      </c>
      <c r="I29" s="19">
        <f>IF(OR(K29="—",LEFT(K29,1)="（"),"",LEN(K29))</f>
        <v/>
      </c>
      <c r="J29" s="19">
        <f>IF(I29="","",H29-I29)</f>
        <v/>
      </c>
      <c r="K29" s="22" t="inlineStr">
        <is>
          <t>Single Ingredient</t>
        </is>
      </c>
      <c r="L29" s="19" t="inlineStr">
        <is>
          <t>F01, F10</t>
        </is>
      </c>
      <c r="M29" s="20" t="inlineStr">
        <is>
          <t>保留。标签上只有Urolithin A一种活性成分。</t>
        </is>
      </c>
    </row>
    <row r="30" ht="31" customHeight="1">
      <c r="A30" s="19" t="inlineStr">
        <is>
          <t>A4-03</t>
        </is>
      </c>
      <c r="B30" s="19" t="inlineStr">
        <is>
          <t>A+图4</t>
        </is>
      </c>
      <c r="C30" s="19" t="inlineStr">
        <is>
          <t>A+-纯图4.png</t>
        </is>
      </c>
      <c r="D30" s="20" t="inlineStr">
        <is>
          <t>小标题下说明（2行）</t>
        </is>
      </c>
      <c r="E30" s="21" t="inlineStr">
        <is>
          <t>One active ingredient:
700mg Urolithin A per serving.</t>
        </is>
      </c>
      <c r="F30" s="19" t="inlineStr">
        <is>
          <t>One clear dose:
700mg per 2 capsules.</t>
        </is>
      </c>
      <c r="G30" s="20" t="inlineStr">
        <is>
          <t>一种活性成分：每份700mg尿石素A。</t>
        </is>
      </c>
      <c r="H30" s="19">
        <f>LEN(E30)</f>
        <v/>
      </c>
      <c r="I30" s="19">
        <f>IF(OR(K30="—",LEFT(K30,1)="（"),"",LEN(K30))</f>
        <v/>
      </c>
      <c r="J30" s="19">
        <f>IF(I30="","",H30-I30)</f>
        <v/>
      </c>
      <c r="K30" s="22" t="inlineStr">
        <is>
          <t>A single-ingredient formula
for aging support.</t>
        </is>
      </c>
      <c r="L30" s="19" t="inlineStr">
        <is>
          <t>F01</t>
        </is>
      </c>
      <c r="M30" s="20" t="inlineStr">
        <is>
          <t>删掉aging。</t>
        </is>
      </c>
    </row>
    <row r="31" ht="31" customHeight="1">
      <c r="A31" s="19" t="inlineStr">
        <is>
          <t>A4-04</t>
        </is>
      </c>
      <c r="B31" s="19" t="inlineStr">
        <is>
          <t>A+图4</t>
        </is>
      </c>
      <c r="C31" s="19" t="inlineStr">
        <is>
          <t>A+-纯图4.png</t>
        </is>
      </c>
      <c r="D31" s="19" t="inlineStr">
        <is>
          <t>Supplement Facts｜份量行</t>
        </is>
      </c>
      <c r="E31" s="21" t="inlineStr">
        <is>
          <t>45 Servings Per Container / Serving size: 2 Capsules / 90 Capsules</t>
        </is>
      </c>
      <c r="F31" s="19" t="inlineStr">
        <is>
          <t>—</t>
        </is>
      </c>
      <c r="G31" s="20" t="inlineStr">
        <is>
          <t>每瓶45份 / 每份2粒 / 共90粒</t>
        </is>
      </c>
      <c r="H31" s="19">
        <f>LEN(E31)</f>
        <v/>
      </c>
      <c r="I31" s="19">
        <f>IF(OR(K31="—",LEFT(K31,1)="（"),"",LEN(K31))</f>
        <v/>
      </c>
      <c r="J31" s="19">
        <f>IF(I31="","",H31-I31)</f>
        <v/>
      </c>
      <c r="K31" s="22" t="inlineStr">
        <is>
          <t>45 Servings Per Container / Serving size: 2 Capsules / 90 Capsules</t>
        </is>
      </c>
      <c r="L31" s="19" t="inlineStr">
        <is>
          <t>F01, F02</t>
        </is>
      </c>
      <c r="M31" s="20" t="inlineStr">
        <is>
          <t>保留，和listing一致。</t>
        </is>
      </c>
    </row>
    <row r="32" ht="28" customHeight="1">
      <c r="A32" s="19" t="inlineStr">
        <is>
          <t>A4-05</t>
        </is>
      </c>
      <c r="B32" s="19" t="inlineStr">
        <is>
          <t>A+图4</t>
        </is>
      </c>
      <c r="C32" s="19" t="inlineStr">
        <is>
          <t>A+-纯图4.png</t>
        </is>
      </c>
      <c r="D32" s="19" t="inlineStr">
        <is>
          <t>Supplement Facts｜成分行</t>
        </is>
      </c>
      <c r="E32" s="21" t="inlineStr">
        <is>
          <t>Urolithin A (from Punica granatum Peel Extract) 700 mg †</t>
        </is>
      </c>
      <c r="F32" s="19" t="inlineStr">
        <is>
          <t>—</t>
        </is>
      </c>
      <c r="G32" s="20" t="inlineStr">
        <is>
          <t>尿石素A（来自石榴皮提取物）700mg</t>
        </is>
      </c>
      <c r="H32" s="19">
        <f>LEN(E32)</f>
        <v/>
      </c>
      <c r="I32" s="19">
        <f>IF(OR(K32="—",LEFT(K32,1)="（"),"",LEN(K32))</f>
        <v/>
      </c>
      <c r="J32" s="19">
        <f>IF(I32="","",H32-I32)</f>
        <v/>
      </c>
      <c r="K32" s="22" t="inlineStr">
        <is>
          <t>Urolithin A (from Punica Granatum Peel Extract) 700 mg †</t>
        </is>
      </c>
      <c r="L32" s="19" t="inlineStr">
        <is>
          <t>F01, F10</t>
        </is>
      </c>
      <c r="M32" s="20" t="inlineStr">
        <is>
          <t>拉丁学名的种加词要小写：granatum。其余以实物标签为准。</t>
        </is>
      </c>
    </row>
    <row r="33" ht="61" customHeight="1">
      <c r="A33" s="19" t="inlineStr">
        <is>
          <t>A4-06</t>
        </is>
      </c>
      <c r="B33" s="19" t="inlineStr">
        <is>
          <t>A+图4</t>
        </is>
      </c>
      <c r="C33" s="19" t="inlineStr">
        <is>
          <t>A+-纯图4.png</t>
        </is>
      </c>
      <c r="D33" s="19" t="inlineStr">
        <is>
          <t>Supplement Facts｜Other Ingredients</t>
        </is>
      </c>
      <c r="E33" s="21" t="inlineStr">
        <is>
          <t>Other Ingredients: [Capsule shell — copy exactly from the physical label], MCT Oil, Sunflower Lecithin, Annatto (color).</t>
        </is>
      </c>
      <c r="F33" s="19" t="inlineStr">
        <is>
          <t>—</t>
        </is>
      </c>
      <c r="G33" s="20" t="inlineStr">
        <is>
          <t>其他成分：[胶囊壳按实物标签照抄]、MCT油、葵花卵磷脂、胭脂树（着色）。</t>
        </is>
      </c>
      <c r="H33" s="19">
        <f>LEN(E33)</f>
        <v/>
      </c>
      <c r="I33" s="19">
        <f>IF(OR(K33="—",LEFT(K33,1)="（"),"",LEN(K33))</f>
        <v/>
      </c>
      <c r="J33" s="19">
        <f>IF(I33="","",H33-I33)</f>
        <v/>
      </c>
      <c r="K33" s="22" t="inlineStr">
        <is>
          <t>Other Ingredients: Other Ingredients: Vegan Softgel (Glycerin, Purified Water), MCT Oil, Sunflower Lecithin.</t>
        </is>
      </c>
      <c r="L33" s="19" t="inlineStr">
        <is>
          <t>F03, F04</t>
        </is>
      </c>
      <c r="M33" s="20" t="inlineStr">
        <is>
          <t>【必改】① “Other Ingredients:”写了两遍。② 原稿写Vegan Softgel，但listing写的是90 Capsules，很可能用了1000mg软胶囊那款的标签。③ listing提到胭脂树天然着色，标签上没有。这一格必须和实物标签逐字一致。</t>
        </is>
      </c>
    </row>
    <row r="34">
      <c r="A34" s="19" t="inlineStr">
        <is>
          <t>A4-07</t>
        </is>
      </c>
      <c r="B34" s="19" t="inlineStr">
        <is>
          <t>A+图4</t>
        </is>
      </c>
      <c r="C34" s="19" t="inlineStr">
        <is>
          <t>A+-纯图4.png</t>
        </is>
      </c>
      <c r="D34" s="20" t="inlineStr">
        <is>
          <t>徽章｜圆形1</t>
        </is>
      </c>
      <c r="E34" s="21" t="inlineStr">
        <is>
          <t>GLUTEN-FREE</t>
        </is>
      </c>
      <c r="F34" s="19" t="inlineStr">
        <is>
          <t>—</t>
        </is>
      </c>
      <c r="G34" s="20" t="inlineStr">
        <is>
          <t>无麸质</t>
        </is>
      </c>
      <c r="H34" s="19">
        <f>LEN(E34)</f>
        <v/>
      </c>
      <c r="I34" s="19">
        <f>IF(OR(K34="—",LEFT(K34,1)="（"),"",LEN(K34))</f>
        <v/>
      </c>
      <c r="J34" s="19">
        <f>IF(I34="","",H34-I34)</f>
        <v/>
      </c>
      <c r="K34" s="22" t="inlineStr">
        <is>
          <t>GLUTEN-FREE</t>
        </is>
      </c>
      <c r="L34" s="19" t="inlineStr">
        <is>
          <t>F11</t>
        </is>
      </c>
      <c r="M34" s="20" t="inlineStr">
        <is>
          <t>保留（2026-09-28用户确认有依据）。</t>
        </is>
      </c>
    </row>
    <row r="35">
      <c r="A35" s="19" t="inlineStr">
        <is>
          <t>A4-08</t>
        </is>
      </c>
      <c r="B35" s="19" t="inlineStr">
        <is>
          <t>A+图4</t>
        </is>
      </c>
      <c r="C35" s="19" t="inlineStr">
        <is>
          <t>A+-纯图4.png</t>
        </is>
      </c>
      <c r="D35" s="20" t="inlineStr">
        <is>
          <t>徽章｜圆形2</t>
        </is>
      </c>
      <c r="E35" s="21" t="inlineStr">
        <is>
          <t>NON-GMO</t>
        </is>
      </c>
      <c r="F35" s="19" t="inlineStr">
        <is>
          <t>—</t>
        </is>
      </c>
      <c r="G35" s="20" t="inlineStr">
        <is>
          <t>非转基因</t>
        </is>
      </c>
      <c r="H35" s="19">
        <f>LEN(E35)</f>
        <v/>
      </c>
      <c r="I35" s="19">
        <f>IF(OR(K35="—",LEFT(K35,1)="（"),"",LEN(K35))</f>
        <v/>
      </c>
      <c r="J35" s="19">
        <f>IF(I35="","",H35-I35)</f>
        <v/>
      </c>
      <c r="K35" s="22" t="inlineStr">
        <is>
          <t>NON-GMO</t>
        </is>
      </c>
      <c r="L35" s="19" t="inlineStr">
        <is>
          <t>F11</t>
        </is>
      </c>
      <c r="M35" s="20" t="inlineStr">
        <is>
          <t>保留（用户确认有依据）。</t>
        </is>
      </c>
    </row>
    <row r="36">
      <c r="A36" s="19" t="inlineStr">
        <is>
          <t>A4-09</t>
        </is>
      </c>
      <c r="B36" s="19" t="inlineStr">
        <is>
          <t>A+图4</t>
        </is>
      </c>
      <c r="C36" s="19" t="inlineStr">
        <is>
          <t>A+-纯图4.png</t>
        </is>
      </c>
      <c r="D36" s="20" t="inlineStr">
        <is>
          <t>徽章｜长方形1</t>
        </is>
      </c>
      <c r="E36" s="21" t="inlineStr">
        <is>
          <t>AMERICAN OWNED QUALITY CONTROL</t>
        </is>
      </c>
      <c r="F36" s="19" t="inlineStr">
        <is>
          <t>—</t>
        </is>
      </c>
      <c r="G36" s="20" t="inlineStr">
        <is>
          <t>美国企业自有品控</t>
        </is>
      </c>
      <c r="H36" s="19">
        <f>LEN(E36)</f>
        <v/>
      </c>
      <c r="I36" s="19">
        <f>IF(OR(K36="—",LEFT(K36,1)="（"),"",LEN(K36))</f>
        <v/>
      </c>
      <c r="J36" s="19">
        <f>IF(I36="","",H36-I36)</f>
        <v/>
      </c>
      <c r="K36" s="22" t="inlineStr">
        <is>
          <t>AMERICAN OWNED QUALITY CONTROL</t>
        </is>
      </c>
      <c r="L36" s="19" t="inlineStr">
        <is>
          <t>F11</t>
        </is>
      </c>
      <c r="M36" s="20" t="inlineStr">
        <is>
          <t>保留（用户确认）。</t>
        </is>
      </c>
    </row>
    <row r="37" ht="28" customHeight="1">
      <c r="A37" s="19" t="inlineStr">
        <is>
          <t>A4-10</t>
        </is>
      </c>
      <c r="B37" s="19" t="inlineStr">
        <is>
          <t>A+图4</t>
        </is>
      </c>
      <c r="C37" s="19" t="inlineStr">
        <is>
          <t>A+-纯图4.png</t>
        </is>
      </c>
      <c r="D37" s="20" t="inlineStr">
        <is>
          <t>徽章｜长方形2</t>
        </is>
      </c>
      <c r="E37" s="21" t="inlineStr">
        <is>
          <t>Formulated in the United States with imported ingredients.</t>
        </is>
      </c>
      <c r="F37" s="19" t="inlineStr">
        <is>
          <t>—</t>
        </is>
      </c>
      <c r="G37" s="20" t="inlineStr">
        <is>
          <t>美国研发配方，使用进口原料</t>
        </is>
      </c>
      <c r="H37" s="19">
        <f>LEN(E37)</f>
        <v/>
      </c>
      <c r="I37" s="19">
        <f>IF(OR(K37="—",LEFT(K37,1)="（"),"",LEN(K37))</f>
        <v/>
      </c>
      <c r="J37" s="19">
        <f>IF(I37="","",H37-I37)</f>
        <v/>
      </c>
      <c r="K37" s="22" t="inlineStr">
        <is>
          <t>Formulated in the United States with imported ingredients.</t>
        </is>
      </c>
      <c r="L37" s="19" t="inlineStr">
        <is>
          <t>F11</t>
        </is>
      </c>
      <c r="M37" s="20" t="inlineStr">
        <is>
          <t>保留（用户确认）。这是对原产地的限定说法，不要改成“Made in USA”。</t>
        </is>
      </c>
    </row>
    <row r="38">
      <c r="A38" s="19" t="inlineStr">
        <is>
          <t>A4-11</t>
        </is>
      </c>
      <c r="B38" s="19" t="inlineStr">
        <is>
          <t>A+图4</t>
        </is>
      </c>
      <c r="C38" s="19" t="inlineStr">
        <is>
          <t>A+-纯图4.png</t>
        </is>
      </c>
      <c r="D38" s="20" t="inlineStr">
        <is>
          <t>徽章｜方形 GMP</t>
        </is>
      </c>
      <c r="E38" s="21" t="inlineStr">
        <is>
          <t>cGMP / CERTIFIED FACILITY</t>
        </is>
      </c>
      <c r="F38" s="19" t="inlineStr">
        <is>
          <t>—</t>
        </is>
      </c>
      <c r="G38" s="19" t="inlineStr">
        <is>
          <t>cGMP认证工厂</t>
        </is>
      </c>
      <c r="H38" s="19">
        <f>LEN(E38)</f>
        <v/>
      </c>
      <c r="I38" s="19">
        <f>IF(OR(K38="—",LEFT(K38,1)="（"),"",LEN(K38))</f>
        <v/>
      </c>
      <c r="J38" s="19">
        <f>IF(I38="","",H38-I38)</f>
        <v/>
      </c>
      <c r="K38" s="22" t="inlineStr">
        <is>
          <t>GMP / CERTIFIED FACILITY</t>
        </is>
      </c>
      <c r="L38" s="19" t="inlineStr">
        <is>
          <t>F05</t>
        </is>
      </c>
      <c r="M38" s="19" t="inlineStr">
        <is>
          <t>listing原文是cGMP，改成cGMP和listing保持一致。</t>
        </is>
      </c>
    </row>
    <row r="39">
      <c r="A39" s="19" t="inlineStr">
        <is>
          <t>A4-12</t>
        </is>
      </c>
      <c r="B39" s="19" t="inlineStr">
        <is>
          <t>A+图4</t>
        </is>
      </c>
      <c r="C39" s="19" t="inlineStr">
        <is>
          <t>A+-纯图4.png</t>
        </is>
      </c>
      <c r="D39" s="20" t="inlineStr">
        <is>
          <t>【可选新增】徽章</t>
        </is>
      </c>
      <c r="E39" s="21" t="inlineStr">
        <is>
          <t>VEGAN  /  NO ARTIFICIAL ADDITIVES</t>
        </is>
      </c>
      <c r="F39" s="19" t="inlineStr">
        <is>
          <t>—</t>
        </is>
      </c>
      <c r="G39" s="20" t="inlineStr">
        <is>
          <t>纯素 / 无人工添加</t>
        </is>
      </c>
      <c r="H39" s="19">
        <f>LEN(E39)</f>
        <v/>
      </c>
      <c r="I39" s="19">
        <f>IF(OR(K39="—",LEFT(K39,1)="（"),"",LEN(K39))</f>
        <v/>
      </c>
      <c r="J39" s="19">
        <f>IF(I39="","",H39-I39)</f>
        <v/>
      </c>
      <c r="K39" s="23" t="inlineStr">
        <is>
          <t>（无）</t>
        </is>
      </c>
      <c r="L39" s="19" t="inlineStr">
        <is>
          <t>F09, F04</t>
        </is>
      </c>
      <c r="M39" s="20" t="inlineStr">
        <is>
          <t>可选。这两项listing都有写，放得下可以补在徽章区。</t>
        </is>
      </c>
    </row>
    <row r="40" ht="46" customHeight="1">
      <c r="A40" s="19" t="inlineStr">
        <is>
          <t>A4-13</t>
        </is>
      </c>
      <c r="B40" s="19" t="inlineStr">
        <is>
          <t>A+图4</t>
        </is>
      </c>
      <c r="C40" s="19" t="inlineStr">
        <is>
          <t>A+-纯图4.png</t>
        </is>
      </c>
      <c r="D40" s="20" t="inlineStr">
        <is>
          <t>【新增】底边FDA免责声明（小字）</t>
        </is>
      </c>
      <c r="E40" s="21" t="inlineStr">
        <is>
          <t>*These statements have not been evaluated by the Food and Drug Administration. This product is not intended to diagnose, treat, cure, or prevent any disease.</t>
        </is>
      </c>
      <c r="F40" s="19" t="inlineStr">
        <is>
          <t>—</t>
        </is>
      </c>
      <c r="G40" s="19" t="inlineStr">
        <is>
          <t>FDA免责声明</t>
        </is>
      </c>
      <c r="H40" s="19">
        <f>LEN(E40)</f>
        <v/>
      </c>
      <c r="I40" s="19">
        <f>IF(OR(K40="—",LEFT(K40,1)="（"),"",LEN(K40))</f>
        <v/>
      </c>
      <c r="J40" s="19">
        <f>IF(I40="","",H40-I40)</f>
        <v/>
      </c>
      <c r="K40" s="23" t="inlineStr">
        <is>
          <t>（无）</t>
        </is>
      </c>
      <c r="L40" s="19" t="inlineStr">
        <is>
          <t>—</t>
        </is>
      </c>
      <c r="M40" s="20" t="inlineStr">
        <is>
          <t>主标题带*，所以必须放。</t>
        </is>
      </c>
    </row>
    <row r="41" ht="31" customHeight="1">
      <c r="A41" s="24" t="inlineStr">
        <is>
          <t>BS-00</t>
        </is>
      </c>
      <c r="B41" s="25" t="inlineStr">
        <is>
          <t>品牌故事-1</t>
        </is>
      </c>
      <c r="C41" s="25" t="inlineStr">
        <is>
          <t>品牌轮播图-1.png</t>
        </is>
      </c>
      <c r="D41" s="25" t="inlineStr">
        <is>
          <t>【可选】背景图左侧 Logo＋标语</t>
        </is>
      </c>
      <c r="E41" s="26" t="inlineStr">
        <is>
          <t>ZAB
Transparent by Design.</t>
        </is>
      </c>
      <c r="F41" s="24" t="inlineStr">
        <is>
          <t>ZAB
Know What You Take.</t>
        </is>
      </c>
      <c r="G41" s="24" t="inlineStr">
        <is>
          <t>ZAB｜透明，是设计出来的。</t>
        </is>
      </c>
      <c r="H41" s="24">
        <f>LEN(E41)</f>
        <v/>
      </c>
      <c r="I41" s="24">
        <f>IF(OR(K41="—",LEFT(K41,1)="（"),"",LEN(K41))</f>
        <v/>
      </c>
      <c r="J41" s="24">
        <f>IF(I41="","",H41-I41)</f>
        <v/>
      </c>
      <c r="K41" s="27" t="inlineStr">
        <is>
          <t>（无文字）</t>
        </is>
      </c>
      <c r="L41" s="24" t="inlineStr">
        <is>
          <t>F13</t>
        </is>
      </c>
      <c r="M41" s="24" t="inlineStr">
        <is>
          <t>“Transparentbydesign”是店铺链接里的名字。确认它是品牌slogan后再用，不是的话就用备选。</t>
        </is>
      </c>
    </row>
    <row r="42">
      <c r="A42" s="24" t="inlineStr">
        <is>
          <t>BS-01</t>
        </is>
      </c>
      <c r="B42" s="25" t="inlineStr">
        <is>
          <t>品牌故事-1</t>
        </is>
      </c>
      <c r="C42" s="25" t="inlineStr">
        <is>
          <t>品牌轮播图-1.png</t>
        </is>
      </c>
      <c r="D42" s="25" t="inlineStr">
        <is>
          <t>卡片1｜标题</t>
        </is>
      </c>
      <c r="E42" s="26" t="inlineStr">
        <is>
          <t>Subscribe &amp; Save</t>
        </is>
      </c>
      <c r="F42" s="24" t="inlineStr">
        <is>
          <t>Subscribe and Save</t>
        </is>
      </c>
      <c r="G42" s="25" t="inlineStr">
        <is>
          <t>订阅省</t>
        </is>
      </c>
      <c r="H42" s="24">
        <f>LEN(E42)</f>
        <v/>
      </c>
      <c r="I42" s="24">
        <f>IF(OR(K42="—",LEFT(K42,1)="（"),"",LEN(K42))</f>
        <v/>
      </c>
      <c r="J42" s="24">
        <f>IF(I42="","",H42-I42)</f>
        <v/>
      </c>
      <c r="K42" s="28" t="inlineStr">
        <is>
          <t>Subscribe and Save</t>
        </is>
      </c>
      <c r="L42" s="24" t="inlineStr">
        <is>
          <t>—</t>
        </is>
      </c>
      <c r="M42" s="25" t="inlineStr">
        <is>
          <t>不写折扣数字。上线前请先确认这个ASIN已经开通Subscribe &amp; Save。</t>
        </is>
      </c>
    </row>
    <row r="43" ht="31" customHeight="1">
      <c r="A43" s="24" t="inlineStr">
        <is>
          <t>BS-02</t>
        </is>
      </c>
      <c r="B43" s="25" t="inlineStr">
        <is>
          <t>品牌故事-1</t>
        </is>
      </c>
      <c r="C43" s="25" t="inlineStr">
        <is>
          <t>品牌轮播图-1.png</t>
        </is>
      </c>
      <c r="D43" s="25" t="inlineStr">
        <is>
          <t>卡片1｜正文（2行）</t>
        </is>
      </c>
      <c r="E43" s="26" t="inlineStr">
        <is>
          <t>Never run out. Get your
45-day supply on your schedule.</t>
        </is>
      </c>
      <c r="F43" s="24" t="inlineStr">
        <is>
          <t>Stay consistent with a
45-day supply, delivered.</t>
        </is>
      </c>
      <c r="G43" s="25" t="inlineStr">
        <is>
          <t>不断货：按你的节奏收到45天用量。</t>
        </is>
      </c>
      <c r="H43" s="24">
        <f>LEN(E43)</f>
        <v/>
      </c>
      <c r="I43" s="24">
        <f>IF(OR(K43="—",LEFT(K43,1)="（"),"",LEN(K43))</f>
        <v/>
      </c>
      <c r="J43" s="24">
        <f>IF(I43="","",H43-I43)</f>
        <v/>
      </c>
      <c r="K43" s="28" t="inlineStr">
        <is>
          <t>Consistency is key for
lasting results.</t>
        </is>
      </c>
      <c r="L43" s="24" t="inlineStr">
        <is>
          <t>F02</t>
        </is>
      </c>
      <c r="M43" s="25" t="inlineStr">
        <is>
          <t>原稿的“lasting results”暗示效果，已删掉。卡片里的OLENPHOGY产品合照要换成ZAB自家产品。</t>
        </is>
      </c>
    </row>
    <row r="44" ht="31" customHeight="1">
      <c r="A44" s="24" t="inlineStr">
        <is>
          <t>BS-03</t>
        </is>
      </c>
      <c r="B44" s="25" t="inlineStr">
        <is>
          <t>品牌故事-1</t>
        </is>
      </c>
      <c r="C44" s="25" t="inlineStr">
        <is>
          <t>品牌轮播图-1.png</t>
        </is>
      </c>
      <c r="D44" s="25" t="inlineStr">
        <is>
          <t>卡片2｜跑步男士（2行：细＋粗）</t>
        </is>
      </c>
      <c r="E44" s="26" t="inlineStr">
        <is>
          <t>Built for
**Active Days.**</t>
        </is>
      </c>
      <c r="F44" s="24" t="inlineStr">
        <is>
          <t>Keep Moving.
**Keep Going.**</t>
        </is>
      </c>
      <c r="G44" s="25" t="inlineStr">
        <is>
          <t>为活跃的日子而生。</t>
        </is>
      </c>
      <c r="H44" s="24">
        <f>LEN(E44)</f>
        <v/>
      </c>
      <c r="I44" s="24">
        <f>IF(OR(K44="—",LEFT(K44,1)="（"),"",LEN(K44))</f>
        <v/>
      </c>
      <c r="J44" s="24">
        <f>IF(I44="","",H44-I44)</f>
        <v/>
      </c>
      <c r="K44" s="28" t="inlineStr">
        <is>
          <t>Aging Support
**Simplified.**</t>
        </is>
      </c>
      <c r="L44" s="24" t="inlineStr">
        <is>
          <t>F14</t>
        </is>
      </c>
      <c r="M44" s="25" t="inlineStr">
        <is>
          <t>去掉aging。不写功效，所以不需要星号。</t>
        </is>
      </c>
    </row>
    <row r="45">
      <c r="A45" s="24" t="inlineStr">
        <is>
          <t>BS-04</t>
        </is>
      </c>
      <c r="B45" s="25" t="inlineStr">
        <is>
          <t>品牌故事-1</t>
        </is>
      </c>
      <c r="C45" s="25" t="inlineStr">
        <is>
          <t>品牌轮播图-1.png</t>
        </is>
      </c>
      <c r="D45" s="25" t="inlineStr">
        <is>
          <t>卡片3｜标题</t>
        </is>
      </c>
      <c r="E45" s="26" t="inlineStr">
        <is>
          <t>Our Mission</t>
        </is>
      </c>
      <c r="F45" s="24" t="inlineStr">
        <is>
          <t>—</t>
        </is>
      </c>
      <c r="G45" s="25" t="inlineStr">
        <is>
          <t>我们的使命</t>
        </is>
      </c>
      <c r="H45" s="24">
        <f>LEN(E45)</f>
        <v/>
      </c>
      <c r="I45" s="24">
        <f>IF(OR(K45="—",LEFT(K45,1)="（"),"",LEN(K45))</f>
        <v/>
      </c>
      <c r="J45" s="24">
        <f>IF(I45="","",H45-I45)</f>
        <v/>
      </c>
      <c r="K45" s="28" t="inlineStr">
        <is>
          <t>Our Mission</t>
        </is>
      </c>
      <c r="L45" s="24" t="inlineStr">
        <is>
          <t>—</t>
        </is>
      </c>
      <c r="M45" s="25" t="inlineStr">
        <is>
          <t>保留。</t>
        </is>
      </c>
    </row>
    <row r="46" ht="46" customHeight="1">
      <c r="A46" s="24" t="inlineStr">
        <is>
          <t>BS-05</t>
        </is>
      </c>
      <c r="B46" s="25" t="inlineStr">
        <is>
          <t>品牌故事-1</t>
        </is>
      </c>
      <c r="C46" s="25" t="inlineStr">
        <is>
          <t>品牌轮播图-1.png</t>
        </is>
      </c>
      <c r="D46" s="25" t="inlineStr">
        <is>
          <t>卡片3｜正文（3行）</t>
        </is>
      </c>
      <c r="E46" s="26" t="inlineStr">
        <is>
          <t>We built ZAB on one idea: you should know exactly what you're taking.</t>
        </is>
      </c>
      <c r="F46" s="24" t="inlineStr">
        <is>
          <t>We built ZAB on one idea: you should know exactly what you're taking. Clear doses, disclosed sources, nothing to decode.</t>
        </is>
      </c>
      <c r="G46" s="25" t="inlineStr">
        <is>
          <t>我们创立ZAB只为一件事：让你清楚知道自己吃的是什么。</t>
        </is>
      </c>
      <c r="H46" s="24">
        <f>LEN(E46)</f>
        <v/>
      </c>
      <c r="I46" s="24">
        <f>IF(OR(K46="—",LEFT(K46,1)="（"),"",LEN(K46))</f>
        <v/>
      </c>
      <c r="J46" s="24">
        <f>IF(I46="","",H46-I46)</f>
        <v/>
      </c>
      <c r="K46" s="28" t="inlineStr">
        <is>
          <t>We started Olenphogy from a simple aspiration: to create something that genuinely works.</t>
        </is>
      </c>
      <c r="L46" s="24" t="inlineStr">
        <is>
          <t>F01, F10, F13</t>
        </is>
      </c>
      <c r="M46" s="25" t="inlineStr">
        <is>
          <t>【必改】去掉对标品牌名。如有真实的创立故事（创始人、年份、初衷），请提供，替换成真实内容。卡片空间够的话，可以用备选的长版。配图里的软糖熊和混合胶囊不代表本品，建议换成本品胶囊。</t>
        </is>
      </c>
    </row>
    <row r="47" ht="31" customHeight="1">
      <c r="A47" s="24" t="inlineStr">
        <is>
          <t>BS-06</t>
        </is>
      </c>
      <c r="B47" s="25" t="inlineStr">
        <is>
          <t>品牌故事-2</t>
        </is>
      </c>
      <c r="C47" s="25" t="inlineStr">
        <is>
          <t>品牌轮播图-2.png</t>
        </is>
      </c>
      <c r="D47" s="25" t="inlineStr">
        <is>
          <t>卡片4｜网球女性（2行：细＋粗）</t>
        </is>
      </c>
      <c r="E47" s="26" t="inlineStr">
        <is>
          <t>For Men
**and Women.**</t>
        </is>
      </c>
      <c r="F47" s="24" t="inlineStr">
        <is>
          <t>One Routine.
**For Him &amp; Her.**</t>
        </is>
      </c>
      <c r="G47" s="25" t="inlineStr">
        <is>
          <t>男女皆宜。</t>
        </is>
      </c>
      <c r="H47" s="24">
        <f>LEN(E47)</f>
        <v/>
      </c>
      <c r="I47" s="24">
        <f>IF(OR(K47="—",LEFT(K47,1)="（"),"",LEN(K47))</f>
        <v/>
      </c>
      <c r="J47" s="24">
        <f>IF(I47="","",H47-I47)</f>
        <v/>
      </c>
      <c r="K47" s="28" t="inlineStr">
        <is>
          <t>Aging Support
**Simplified.**</t>
        </is>
      </c>
      <c r="L47" s="24" t="inlineStr">
        <is>
          <t>F07</t>
        </is>
      </c>
      <c r="M47" s="25" t="inlineStr">
        <is>
          <t>去掉aging，改用listing写到的“男女适用”。</t>
        </is>
      </c>
    </row>
    <row r="48">
      <c r="A48" s="24" t="inlineStr">
        <is>
          <t>BS-07</t>
        </is>
      </c>
      <c r="B48" s="25" t="inlineStr">
        <is>
          <t>品牌故事-2</t>
        </is>
      </c>
      <c r="C48" s="25" t="inlineStr">
        <is>
          <t>品牌轮播图-2.png</t>
        </is>
      </c>
      <c r="D48" s="25" t="inlineStr">
        <is>
          <t>卡片5｜手写体小标题</t>
        </is>
      </c>
      <c r="E48" s="26" t="inlineStr">
        <is>
          <t>Wellness Tip</t>
        </is>
      </c>
      <c r="F48" s="24" t="inlineStr">
        <is>
          <t>Daily Tip</t>
        </is>
      </c>
      <c r="G48" s="25" t="inlineStr">
        <is>
          <t>健康小贴士</t>
        </is>
      </c>
      <c r="H48" s="24">
        <f>LEN(E48)</f>
        <v/>
      </c>
      <c r="I48" s="24">
        <f>IF(OR(K48="—",LEFT(K48,1)="（"),"",LEN(K48))</f>
        <v/>
      </c>
      <c r="J48" s="24">
        <f>IF(I48="","",H48-I48)</f>
        <v/>
      </c>
      <c r="K48" s="28" t="inlineStr">
        <is>
          <t>Wellness Tips</t>
        </is>
      </c>
      <c r="L48" s="24" t="inlineStr">
        <is>
          <t>—</t>
        </is>
      </c>
      <c r="M48" s="24" t="n"/>
    </row>
    <row r="49">
      <c r="A49" s="24" t="inlineStr">
        <is>
          <t>BS-08</t>
        </is>
      </c>
      <c r="B49" s="25" t="inlineStr">
        <is>
          <t>品牌故事-2</t>
        </is>
      </c>
      <c r="C49" s="25" t="inlineStr">
        <is>
          <t>品牌轮播图-2.png</t>
        </is>
      </c>
      <c r="D49" s="25" t="inlineStr">
        <is>
          <t>卡片5｜大标题（衬线斜体）</t>
        </is>
      </c>
      <c r="E49" s="26" t="inlineStr">
        <is>
          <t>Consistency is self-care.</t>
        </is>
      </c>
      <c r="F49" s="24" t="inlineStr">
        <is>
          <t>Routine is self-care.</t>
        </is>
      </c>
      <c r="G49" s="25" t="inlineStr">
        <is>
          <t>坚持，本身就是自我关照。</t>
        </is>
      </c>
      <c r="H49" s="24">
        <f>LEN(E49)</f>
        <v/>
      </c>
      <c r="I49" s="24">
        <f>IF(OR(K49="—",LEFT(K49,1)="（"),"",LEN(K49))</f>
        <v/>
      </c>
      <c r="J49" s="24">
        <f>IF(I49="","",H49-I49)</f>
        <v/>
      </c>
      <c r="K49" s="28" t="inlineStr">
        <is>
          <t>Sleep is self-care.</t>
        </is>
      </c>
      <c r="L49" s="24" t="inlineStr">
        <is>
          <t>—</t>
        </is>
      </c>
      <c r="M49" s="25" t="inlineStr">
        <is>
          <t>保留原稿的句式节奏。</t>
        </is>
      </c>
    </row>
    <row r="50">
      <c r="A50" s="24" t="inlineStr">
        <is>
          <t>BS-09</t>
        </is>
      </c>
      <c r="B50" s="25" t="inlineStr">
        <is>
          <t>品牌故事-2</t>
        </is>
      </c>
      <c r="C50" s="25" t="inlineStr">
        <is>
          <t>品牌轮播图-2.png</t>
        </is>
      </c>
      <c r="D50" s="25" t="inlineStr">
        <is>
          <t>卡片5｜小号大写副句</t>
        </is>
      </c>
      <c r="E50" s="26" t="inlineStr">
        <is>
          <t>2 CAPSULES DAILY, WITH WATER.</t>
        </is>
      </c>
      <c r="F50" s="24" t="inlineStr">
        <is>
          <t>MAKE IT PART OF YOUR DAY.</t>
        </is>
      </c>
      <c r="G50" s="25" t="inlineStr">
        <is>
          <t>每日2粒，温水送服。</t>
        </is>
      </c>
      <c r="H50" s="24">
        <f>LEN(E50)</f>
        <v/>
      </c>
      <c r="I50" s="24">
        <f>IF(OR(K50="—",LEFT(K50,1)="（"),"",LEN(K50))</f>
        <v/>
      </c>
      <c r="J50" s="24">
        <f>IF(I50="","",H50-I50)</f>
        <v/>
      </c>
      <c r="K50" s="28" t="inlineStr">
        <is>
          <t>WAKE UP FEELING LIKE IT.</t>
        </is>
      </c>
      <c r="L50" s="24" t="inlineStr">
        <is>
          <t>F06</t>
        </is>
      </c>
      <c r="M50" s="24" t="n"/>
    </row>
    <row r="51">
      <c r="A51" s="24" t="inlineStr">
        <is>
          <t>BS-10</t>
        </is>
      </c>
      <c r="B51" s="25" t="inlineStr">
        <is>
          <t>品牌故事-2</t>
        </is>
      </c>
      <c r="C51" s="25" t="inlineStr">
        <is>
          <t>品牌轮播图-2.png</t>
        </is>
      </c>
      <c r="D51" s="25" t="inlineStr">
        <is>
          <t>卡片5｜按钮</t>
        </is>
      </c>
      <c r="E51" s="26" t="inlineStr">
        <is>
          <t>START TODAY →</t>
        </is>
      </c>
      <c r="F51" s="24" t="inlineStr">
        <is>
          <t>BUILD THE HABIT →</t>
        </is>
      </c>
      <c r="G51" s="25" t="inlineStr">
        <is>
          <t>今天开始 →</t>
        </is>
      </c>
      <c r="H51" s="24">
        <f>LEN(E51)</f>
        <v/>
      </c>
      <c r="I51" s="24">
        <f>IF(OR(K51="—",LEFT(K51,1)="（"),"",LEN(K51))</f>
        <v/>
      </c>
      <c r="J51" s="24">
        <f>IF(I51="","",H51-I51)</f>
        <v/>
      </c>
      <c r="K51" s="28" t="inlineStr">
        <is>
          <t>START TONIGHT →</t>
        </is>
      </c>
      <c r="L51" s="24" t="inlineStr">
        <is>
          <t>—</t>
        </is>
      </c>
      <c r="M51" s="25" t="inlineStr">
        <is>
          <t>品牌故事卡片里的按钮只是装饰，点不了。</t>
        </is>
      </c>
    </row>
    <row r="52" ht="31" customHeight="1">
      <c r="A52" s="24" t="inlineStr">
        <is>
          <t>BS-11</t>
        </is>
      </c>
      <c r="B52" s="25" t="inlineStr">
        <is>
          <t>品牌故事-2</t>
        </is>
      </c>
      <c r="C52" s="25" t="inlineStr">
        <is>
          <t>品牌轮播图-2.png</t>
        </is>
      </c>
      <c r="D52" s="25" t="inlineStr">
        <is>
          <t>卡片5｜底部账号</t>
        </is>
      </c>
      <c r="E52" s="29" t="inlineStr">
        <is>
          <t>（删除）</t>
        </is>
      </c>
      <c r="F52" s="24" t="inlineStr">
        <is>
          <t>@[ZAB官方账号]</t>
        </is>
      </c>
      <c r="G52" s="25" t="inlineStr">
        <is>
          <t>删除他牌账号</t>
        </is>
      </c>
      <c r="H52" s="24">
        <f>LEN(E52)</f>
        <v/>
      </c>
      <c r="I52" s="24">
        <f>IF(OR(K52="—",LEFT(K52,1)="（"),"",LEN(K52))</f>
        <v/>
      </c>
      <c r="J52" s="24">
        <f>IF(I52="","",H52-I52)</f>
        <v/>
      </c>
      <c r="K52" s="28" t="inlineStr">
        <is>
          <t>@THELCCLINIC</t>
        </is>
      </c>
      <c r="L52" s="24" t="inlineStr">
        <is>
          <t>—</t>
        </is>
      </c>
      <c r="M52" s="25" t="inlineStr">
        <is>
          <t>【必改】这是别家品牌的账号。ZAB有官方社媒账号可以放上去，没有就删掉。</t>
        </is>
      </c>
    </row>
    <row r="53" ht="46" customHeight="1">
      <c r="A53" s="24" t="inlineStr">
        <is>
          <t>BS-12</t>
        </is>
      </c>
      <c r="B53" s="25" t="inlineStr">
        <is>
          <t>品牌故事-2</t>
        </is>
      </c>
      <c r="C53" s="25" t="inlineStr">
        <is>
          <t>品牌轮播图-2.png</t>
        </is>
      </c>
      <c r="D53" s="25" t="inlineStr">
        <is>
          <t>卡片6｜实验室（大写大字＋小字）</t>
        </is>
      </c>
      <c r="E53" s="26" t="inlineStr">
        <is>
          <t>QUALITY,
BATCH AFTER BATCH.
Made in a cGMP-certified facility</t>
        </is>
      </c>
      <c r="F53" s="24" t="inlineStr">
        <is>
          <t>cGMP QUALITY
Made with batch-to-batch quality control</t>
        </is>
      </c>
      <c r="G53" s="25" t="inlineStr">
        <is>
          <t>每一批，都是同样的品质。cGMP认证工厂生产。</t>
        </is>
      </c>
      <c r="H53" s="24">
        <f>LEN(E53)</f>
        <v/>
      </c>
      <c r="I53" s="24">
        <f>IF(OR(K53="—",LEFT(K53,1)="（"),"",LEN(K53))</f>
        <v/>
      </c>
      <c r="J53" s="24">
        <f>IF(I53="","",H53-I53)</f>
        <v/>
      </c>
      <c r="K53" s="28" t="inlineStr">
        <is>
          <t>NEW ULTIMUNE
POWER INFUSING SERUM</t>
        </is>
      </c>
      <c r="L53" s="24" t="inlineStr">
        <is>
          <t>F05</t>
        </is>
      </c>
      <c r="M53" s="25" t="inlineStr">
        <is>
          <t>【必改】这是别家精华的占位图。图上的播放按钮请去掉：品牌故事模块不支持视频。</t>
        </is>
      </c>
    </row>
    <row r="54" ht="31" customHeight="1">
      <c r="A54" s="30" t="inlineStr">
        <is>
          <t>ALT-1</t>
        </is>
      </c>
      <c r="B54" s="30" t="inlineStr">
        <is>
          <t>Alt文本</t>
        </is>
      </c>
      <c r="C54" s="30" t="inlineStr">
        <is>
          <t>A+纯图1.png</t>
        </is>
      </c>
      <c r="D54" s="31" t="inlineStr">
        <is>
          <t>图片替代文本（≤100字符）</t>
        </is>
      </c>
      <c r="E54" s="32" t="inlineStr">
        <is>
          <t>ZAB Urolithin A 700mg per serving from pomegranate peel extract, no gut conversion needed</t>
        </is>
      </c>
      <c r="F54" s="30" t="inlineStr">
        <is>
          <t>—</t>
        </is>
      </c>
      <c r="G54" s="30" t="inlineStr">
        <is>
          <t>Alt文本：A+图1</t>
        </is>
      </c>
      <c r="H54" s="30">
        <f>LEN(E54)</f>
        <v/>
      </c>
      <c r="I54" s="30">
        <f>IF(OR(K54="—",LEFT(K54,1)="（"),"",LEN(K54))</f>
        <v/>
      </c>
      <c r="J54" s="30">
        <f>IF(I54="","",H54-I54)</f>
        <v/>
      </c>
      <c r="K54" s="33" t="inlineStr">
        <is>
          <t>—</t>
        </is>
      </c>
      <c r="L54" s="30" t="inlineStr">
        <is>
          <t>F01, F10</t>
        </is>
      </c>
      <c r="M54" s="31" t="inlineStr">
        <is>
          <t>在A+后台填到Image keywords里。不计入画面文字。</t>
        </is>
      </c>
    </row>
    <row r="55" ht="31" customHeight="1">
      <c r="A55" s="30" t="inlineStr">
        <is>
          <t>ALT-2</t>
        </is>
      </c>
      <c r="B55" s="30" t="inlineStr">
        <is>
          <t>Alt文本</t>
        </is>
      </c>
      <c r="C55" s="30" t="inlineStr">
        <is>
          <t>A+-连图-纯图2.png</t>
        </is>
      </c>
      <c r="D55" s="31" t="inlineStr">
        <is>
          <t>图片替代文本（≤100字符）</t>
        </is>
      </c>
      <c r="E55" s="32" t="inlineStr">
        <is>
          <t>ZAB Urolithin A capsules label checklist: 700mg per serving, disclosed source, 2 capsules daily</t>
        </is>
      </c>
      <c r="F55" s="30" t="inlineStr">
        <is>
          <t>—</t>
        </is>
      </c>
      <c r="G55" s="30" t="inlineStr">
        <is>
          <t>Alt文本：A+图2</t>
        </is>
      </c>
      <c r="H55" s="30">
        <f>LEN(E55)</f>
        <v/>
      </c>
      <c r="I55" s="30">
        <f>IF(OR(K55="—",LEFT(K55,1)="（"),"",LEN(K55))</f>
        <v/>
      </c>
      <c r="J55" s="30">
        <f>IF(I55="","",H55-I55)</f>
        <v/>
      </c>
      <c r="K55" s="33" t="inlineStr">
        <is>
          <t>—</t>
        </is>
      </c>
      <c r="L55" s="30" t="inlineStr">
        <is>
          <t>F01, F06, F10</t>
        </is>
      </c>
      <c r="M55" s="30" t="n"/>
    </row>
    <row r="56" ht="31" customHeight="1">
      <c r="A56" s="30" t="inlineStr">
        <is>
          <t>ALT-3</t>
        </is>
      </c>
      <c r="B56" s="30" t="inlineStr">
        <is>
          <t>Alt文本</t>
        </is>
      </c>
      <c r="C56" s="30" t="inlineStr">
        <is>
          <t>A+-连图-纯图3.png</t>
        </is>
      </c>
      <c r="D56" s="31" t="inlineStr">
        <is>
          <t>图片替代文本（≤100字符）</t>
        </is>
      </c>
      <c r="E56" s="32" t="inlineStr">
        <is>
          <t>ZAB Urolithin A 700mg mitochondrial supplement for energy metabolism, for men and women</t>
        </is>
      </c>
      <c r="F56" s="30" t="inlineStr">
        <is>
          <t>—</t>
        </is>
      </c>
      <c r="G56" s="30" t="inlineStr">
        <is>
          <t>Alt文本：A+图3</t>
        </is>
      </c>
      <c r="H56" s="30">
        <f>LEN(E56)</f>
        <v/>
      </c>
      <c r="I56" s="30">
        <f>IF(OR(K56="—",LEFT(K56,1)="（"),"",LEN(K56))</f>
        <v/>
      </c>
      <c r="J56" s="30">
        <f>IF(I56="","",H56-I56)</f>
        <v/>
      </c>
      <c r="K56" s="33" t="inlineStr">
        <is>
          <t>—</t>
        </is>
      </c>
      <c r="L56" s="30" t="inlineStr">
        <is>
          <t>F01, F07, F08</t>
        </is>
      </c>
      <c r="M56" s="30" t="n"/>
    </row>
    <row r="57" ht="31" customHeight="1">
      <c r="A57" s="30" t="inlineStr">
        <is>
          <t>ALT-4</t>
        </is>
      </c>
      <c r="B57" s="30" t="inlineStr">
        <is>
          <t>Alt文本</t>
        </is>
      </c>
      <c r="C57" s="30" t="inlineStr">
        <is>
          <t>A+-纯图4.png</t>
        </is>
      </c>
      <c r="D57" s="31" t="inlineStr">
        <is>
          <t>图片替代文本（≤100字符）</t>
        </is>
      </c>
      <c r="E57" s="32" t="inlineStr">
        <is>
          <t>ZAB Urolithin A supplement facts: 700mg per 2 capsules, 45 servings, cGMP, non-GMO, gluten-free</t>
        </is>
      </c>
      <c r="F57" s="30" t="inlineStr">
        <is>
          <t>—</t>
        </is>
      </c>
      <c r="G57" s="30" t="inlineStr">
        <is>
          <t>Alt文本：A+图4</t>
        </is>
      </c>
      <c r="H57" s="30">
        <f>LEN(E57)</f>
        <v/>
      </c>
      <c r="I57" s="30">
        <f>IF(OR(K57="—",LEFT(K57,1)="（"),"",LEN(K57))</f>
        <v/>
      </c>
      <c r="J57" s="30">
        <f>IF(I57="","",H57-I57)</f>
        <v/>
      </c>
      <c r="K57" s="33" t="inlineStr">
        <is>
          <t>—</t>
        </is>
      </c>
      <c r="L57" s="30" t="inlineStr">
        <is>
          <t>F01, F02, F05, F11</t>
        </is>
      </c>
      <c r="M57" s="30" t="n"/>
    </row>
  </sheetData>
  <autoFilter ref="A1:M57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.6796875" defaultRowHeight="16.8"/>
  <cols>
    <col width="5" customWidth="1" min="1" max="1"/>
    <col width="8" customWidth="1" min="2" max="2"/>
    <col width="24" customWidth="1" min="3" max="3"/>
    <col width="50" customWidth="1" min="4" max="5"/>
    <col width="10" customWidth="1" min="6" max="6"/>
  </cols>
  <sheetData>
    <row r="1">
      <c r="A1" s="4" t="inlineStr">
        <is>
          <t>#</t>
        </is>
      </c>
      <c r="B1" s="1" t="inlineStr">
        <is>
          <t>优先级</t>
        </is>
      </c>
      <c r="C1" s="1" t="inlineStr">
        <is>
          <t>位置</t>
        </is>
      </c>
      <c r="D1" s="1" t="inlineStr">
        <is>
          <t>问题</t>
        </is>
      </c>
      <c r="E1" s="1" t="inlineStr">
        <is>
          <t>建议处理</t>
        </is>
      </c>
      <c r="F1" s="1" t="inlineStr">
        <is>
          <t>状态</t>
        </is>
      </c>
    </row>
    <row r="2">
      <c r="A2" s="2" t="n">
        <v>1</v>
      </c>
      <c r="B2" s="5" t="inlineStr">
        <is>
          <t>必改</t>
        </is>
      </c>
      <c r="C2" s="3" t="inlineStr">
        <is>
          <t>全部A+与品牌故事</t>
        </is>
      </c>
      <c r="D2" s="2" t="inlineStr">
        <is>
          <t>Logo写的是“ZABORATORY powered by ▬”，瓶身实际是“Zab”</t>
        </is>
      </c>
      <c r="E2" s="3" t="inlineStr">
        <is>
          <t>统一换成实际的ZAB/Zab Logo；去掉POWERED BY和红条占位</t>
        </is>
      </c>
      <c r="F2" s="3" t="inlineStr">
        <is>
          <t>待处理</t>
        </is>
      </c>
    </row>
    <row r="3">
      <c r="A3" s="2" t="n">
        <v>2</v>
      </c>
      <c r="B3" s="5" t="inlineStr">
        <is>
          <t>必改</t>
        </is>
      </c>
      <c r="C3" s="2" t="inlineStr">
        <is>
          <t>A+图1 右上产品瓶</t>
        </is>
      </c>
      <c r="D3" s="3" t="inlineStr">
        <is>
          <t>瓶身渲染是ZABORATORY，而且露出“1,00…”（1000mg款）</t>
        </is>
      </c>
      <c r="E3" s="3" t="inlineStr">
        <is>
          <t>换成本ASIN（700mg，90 Capsules）的真实瓶身图</t>
        </is>
      </c>
      <c r="F3" s="3" t="inlineStr">
        <is>
          <t>待处理</t>
        </is>
      </c>
    </row>
    <row r="4">
      <c r="A4" s="2" t="n">
        <v>3</v>
      </c>
      <c r="B4" s="5" t="inlineStr">
        <is>
          <t>必改</t>
        </is>
      </c>
      <c r="C4" s="2" t="inlineStr">
        <is>
          <t>A+图3 顶部</t>
        </is>
      </c>
      <c r="D4" s="2" t="inlineStr">
        <is>
          <t>1,000mg与本品不符</t>
        </is>
      </c>
      <c r="E4" s="3" t="inlineStr">
        <is>
          <t>已在A3-01改成700mg per serving</t>
        </is>
      </c>
      <c r="F4" s="3" t="inlineStr">
        <is>
          <t>待处理</t>
        </is>
      </c>
    </row>
    <row r="5" ht="31" customHeight="1">
      <c r="A5" s="2" t="n">
        <v>4</v>
      </c>
      <c r="B5" s="5" t="inlineStr">
        <is>
          <t>必改</t>
        </is>
      </c>
      <c r="C5" s="2" t="inlineStr">
        <is>
          <t>A+图4 Supplement Facts</t>
        </is>
      </c>
      <c r="D5" s="2" t="inlineStr">
        <is>
          <t>“Other Ingredients:”写了两遍；写的是Vegan Softgel，而listing是Capsules；没有列胭脂树（Annatto）着色</t>
        </is>
      </c>
      <c r="E5" s="3" t="inlineStr">
        <is>
          <t>按实物标签逐字重做这一格（见A4-06）</t>
        </is>
      </c>
      <c r="F5" s="3" t="inlineStr">
        <is>
          <t>待处理</t>
        </is>
      </c>
    </row>
    <row r="6">
      <c r="A6" s="2" t="n">
        <v>5</v>
      </c>
      <c r="B6" s="5" t="inlineStr">
        <is>
          <t>必改</t>
        </is>
      </c>
      <c r="C6" s="2" t="inlineStr">
        <is>
          <t>A+图4 左侧手持图</t>
        </is>
      </c>
      <c r="D6" s="3" t="inlineStr">
        <is>
          <t>手里捏的是圆形软胶囊/片剂，与本品胶囊外形不符</t>
        </is>
      </c>
      <c r="E6" s="3" t="inlineStr">
        <is>
          <t>换成本品胶囊的手持图（图2、图3里的白色胶囊可以用）</t>
        </is>
      </c>
      <c r="F6" s="3" t="inlineStr">
        <is>
          <t>待处理</t>
        </is>
      </c>
    </row>
    <row r="7" ht="31" customHeight="1">
      <c r="A7" s="2" t="n">
        <v>6</v>
      </c>
      <c r="B7" s="5" t="inlineStr">
        <is>
          <t>必改</t>
        </is>
      </c>
      <c r="C7" s="3" t="inlineStr">
        <is>
          <t>品牌故事卡片1</t>
        </is>
      </c>
      <c r="D7" s="3" t="inlineStr">
        <is>
          <t>产品合照是OLENPHOGY的4款产品</t>
        </is>
      </c>
      <c r="E7" s="3" t="inlineStr">
        <is>
          <t>换成ZAB自家产品图（可以用Urolithin A 700mg单瓶，或ZAB系列合照）</t>
        </is>
      </c>
      <c r="F7" s="3" t="inlineStr">
        <is>
          <t>待处理</t>
        </is>
      </c>
    </row>
    <row r="8">
      <c r="A8" s="2" t="n">
        <v>7</v>
      </c>
      <c r="B8" s="5" t="inlineStr">
        <is>
          <t>必改</t>
        </is>
      </c>
      <c r="C8" s="3" t="inlineStr">
        <is>
          <t>品牌故事卡片3</t>
        </is>
      </c>
      <c r="D8" s="3" t="inlineStr">
        <is>
          <t>配图里有软糖熊和混合药片，与本品不符</t>
        </is>
      </c>
      <c r="E8" s="3" t="inlineStr">
        <is>
          <t>换成本品胶囊或瓶身的静物图</t>
        </is>
      </c>
      <c r="F8" s="3" t="inlineStr">
        <is>
          <t>待处理</t>
        </is>
      </c>
    </row>
    <row r="9">
      <c r="A9" s="2" t="n">
        <v>8</v>
      </c>
      <c r="B9" s="5" t="inlineStr">
        <is>
          <t>必改</t>
        </is>
      </c>
      <c r="C9" s="3" t="inlineStr">
        <is>
          <t>品牌故事卡片5</t>
        </is>
      </c>
      <c r="D9" s="2" t="inlineStr">
        <is>
          <t>@THELCCLINIC是别家品牌账号</t>
        </is>
      </c>
      <c r="E9" s="3" t="inlineStr">
        <is>
          <t>删掉，或换成ZAB官方账号</t>
        </is>
      </c>
      <c r="F9" s="3" t="inlineStr">
        <is>
          <t>待处理</t>
        </is>
      </c>
    </row>
    <row r="10">
      <c r="A10" s="2" t="n">
        <v>9</v>
      </c>
      <c r="B10" s="5" t="inlineStr">
        <is>
          <t>必改</t>
        </is>
      </c>
      <c r="C10" s="3" t="inlineStr">
        <is>
          <t>品牌故事卡片6</t>
        </is>
      </c>
      <c r="D10" s="2" t="inlineStr">
        <is>
          <t>ULTIMUNE精华是别家产品占位；图上有播放按钮</t>
        </is>
      </c>
      <c r="E10" s="3" t="inlineStr">
        <is>
          <t>换成ZAB的实验室/质检图；去掉播放按钮</t>
        </is>
      </c>
      <c r="F10" s="3" t="inlineStr">
        <is>
          <t>待处理</t>
        </is>
      </c>
    </row>
    <row r="11" ht="31" customHeight="1">
      <c r="A11" s="2" t="n">
        <v>10</v>
      </c>
      <c r="B11" s="6" t="inlineStr">
        <is>
          <t>建议</t>
        </is>
      </c>
      <c r="C11" s="2" t="inlineStr">
        <is>
          <t>A+图2 表格</t>
        </is>
      </c>
      <c r="D11" s="3" t="inlineStr">
        <is>
          <t>左栏表头从OTHERS改成VAGUE LABELS后，灰色列的语气要保持中性</t>
        </is>
      </c>
      <c r="E11" s="3" t="inlineStr">
        <is>
          <t>左栏保持灰色细字，不用红叉，避免被理解成贬低竞品</t>
        </is>
      </c>
      <c r="F11" s="3" t="inlineStr">
        <is>
          <t>待处理</t>
        </is>
      </c>
    </row>
    <row r="12" ht="31" customHeight="1">
      <c r="A12" s="2" t="n">
        <v>11</v>
      </c>
      <c r="B12" s="6" t="inlineStr">
        <is>
          <t>建议</t>
        </is>
      </c>
      <c r="C12" s="2" t="inlineStr">
        <is>
          <t>A+图2/图3 连图</t>
        </is>
      </c>
      <c r="D12" s="3" t="inlineStr">
        <is>
          <t>底部过渡标题和图3底部都写了“Feel Good from the Inside Out”（重复）</t>
        </is>
      </c>
      <c r="E12" s="3" t="inlineStr">
        <is>
          <t>已拆成两句（A2-10 / A3-03），请分别排版</t>
        </is>
      </c>
      <c r="F12" s="3" t="inlineStr">
        <is>
          <t>待处理</t>
        </is>
      </c>
    </row>
    <row r="13">
      <c r="A13" s="2" t="n">
        <v>12</v>
      </c>
      <c r="B13" s="6" t="inlineStr">
        <is>
          <t>建议</t>
        </is>
      </c>
      <c r="C13" s="2" t="inlineStr">
        <is>
          <t>A+图3、图4 底边</t>
        </is>
      </c>
      <c r="D13" s="2" t="inlineStr">
        <is>
          <t>FDA免责声明是新增的小字</t>
        </is>
      </c>
      <c r="E13" s="3" t="inlineStr">
        <is>
          <t>放在底边安全区内；手机端缩放后仍要看得清</t>
        </is>
      </c>
      <c r="F13" s="3" t="inlineStr">
        <is>
          <t>待处理</t>
        </is>
      </c>
    </row>
    <row r="14">
      <c r="A14" s="2" t="n">
        <v>13</v>
      </c>
      <c r="B14" s="7" t="inlineStr">
        <is>
          <t>确认</t>
        </is>
      </c>
      <c r="C14" s="3" t="inlineStr">
        <is>
          <t>品牌故事背景</t>
        </is>
      </c>
      <c r="D14" s="2" t="inlineStr">
        <is>
          <t>“Transparent by Design.”是否作为品牌slogan</t>
        </is>
      </c>
      <c r="E14" s="3" t="inlineStr">
        <is>
          <t>确认后使用，否则用备选或不放文字</t>
        </is>
      </c>
      <c r="F14" s="3" t="inlineStr">
        <is>
          <t>待处理</t>
        </is>
      </c>
    </row>
    <row r="15">
      <c r="A15" s="2" t="n">
        <v>14</v>
      </c>
      <c r="B15" s="7" t="inlineStr">
        <is>
          <t>确认</t>
        </is>
      </c>
      <c r="C15" s="3" t="inlineStr">
        <is>
          <t>品牌故事卡片1</t>
        </is>
      </c>
      <c r="D15" s="3" t="inlineStr">
        <is>
          <t>这个ASIN是否已开通Subscribe &amp; Save</t>
        </is>
      </c>
      <c r="E15" s="3" t="inlineStr">
        <is>
          <t>没开通的话，改为“Stay Consistent”之类不涉及订阅的标题</t>
        </is>
      </c>
      <c r="F15" s="3" t="inlineStr">
        <is>
          <t>待处理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.6796875" defaultRowHeight="16.8"/>
  <cols>
    <col width="6" customWidth="1" min="1" max="1"/>
    <col width="56" customWidth="1" min="2" max="2"/>
    <col width="50" customWidth="1" min="3" max="3"/>
    <col width="48" customWidth="1" min="4" max="4"/>
  </cols>
  <sheetData>
    <row r="1">
      <c r="A1" s="1" t="inlineStr">
        <is>
          <t>编号</t>
        </is>
      </c>
      <c r="B1" s="1" t="inlineStr">
        <is>
          <t>事实</t>
        </is>
      </c>
      <c r="C1" s="1" t="inlineStr">
        <is>
          <t>出处</t>
        </is>
      </c>
      <c r="D1" s="1" t="inlineStr">
        <is>
          <t>备注</t>
        </is>
      </c>
    </row>
    <row r="2">
      <c r="A2" s="2" t="inlineStr">
        <is>
          <t>F01</t>
        </is>
      </c>
      <c r="B2" s="3" t="inlineStr">
        <is>
          <t>每份（2粒）含Urolithin A 700mg</t>
        </is>
      </c>
      <c r="C2" s="2" t="inlineStr">
        <is>
          <t>Listing标题＋要点1；构图4 Supplement Facts</t>
        </is>
      </c>
      <c r="D2" s="3" t="inlineStr">
        <is>
          <t>所有“700mg”都要配上“per serving”或“per 2 capsules”</t>
        </is>
      </c>
    </row>
    <row r="3">
      <c r="A3" s="2" t="inlineStr">
        <is>
          <t>F02</t>
        </is>
      </c>
      <c r="B3" s="2" t="inlineStr">
        <is>
          <t>90粒/瓶，每瓶45份，可用45天</t>
        </is>
      </c>
      <c r="C3" s="2" t="inlineStr">
        <is>
          <t>Listing标题＋要点1</t>
        </is>
      </c>
      <c r="D3" s="2" t="n"/>
    </row>
    <row r="4">
      <c r="A4" s="2" t="inlineStr">
        <is>
          <t>F03</t>
        </is>
      </c>
      <c r="B4" s="3" t="inlineStr">
        <is>
          <t>配方含MCT油和（葵花）卵磷脂</t>
        </is>
      </c>
      <c r="C4" s="2" t="inlineStr">
        <is>
          <t>Listing要点2；构图4标签写的是Sunflower Lecithin</t>
        </is>
      </c>
      <c r="D4" s="3" t="inlineStr">
        <is>
          <t>不写这两种成分有促进吸收的作用</t>
        </is>
      </c>
    </row>
    <row r="5">
      <c r="A5" s="2" t="inlineStr">
        <is>
          <t>F04</t>
        </is>
      </c>
      <c r="B5" s="3" t="inlineStr">
        <is>
          <t>含胭脂树（Annatto）天然着色，无人工添加</t>
        </is>
      </c>
      <c r="C5" s="2" t="inlineStr">
        <is>
          <t>Listing要点2、要点5</t>
        </is>
      </c>
      <c r="D5" s="3" t="inlineStr">
        <is>
          <t>注意：标签的Other Ingredients里没有列出</t>
        </is>
      </c>
    </row>
    <row r="6">
      <c r="A6" s="2" t="inlineStr">
        <is>
          <t>F05</t>
        </is>
      </c>
      <c r="B6" s="2" t="inlineStr">
        <is>
          <t>cGMP认证工厂生产，批次间品控一致</t>
        </is>
      </c>
      <c r="C6" s="2" t="inlineStr">
        <is>
          <t>Listing要点3</t>
        </is>
      </c>
      <c r="D6" s="2" t="n"/>
    </row>
    <row r="7">
      <c r="A7" s="2" t="inlineStr">
        <is>
          <t>F06</t>
        </is>
      </c>
      <c r="B7" s="3" t="inlineStr">
        <is>
          <t>成人每日2粒，用水送服</t>
        </is>
      </c>
      <c r="C7" s="2" t="inlineStr">
        <is>
          <t>Listing要点4</t>
        </is>
      </c>
      <c r="D7" s="2" t="inlineStr">
        <is>
          <t>listing没有规定服用时段</t>
        </is>
      </c>
    </row>
    <row r="8">
      <c r="A8" s="2" t="inlineStr">
        <is>
          <t>F07</t>
        </is>
      </c>
      <c r="B8" s="3" t="inlineStr">
        <is>
          <t>男女适用，适合各种生活方式</t>
        </is>
      </c>
      <c r="C8" s="2" t="inlineStr">
        <is>
          <t>Listing标题、要点4、要点5</t>
        </is>
      </c>
      <c r="D8" s="2" t="n"/>
    </row>
    <row r="9" ht="31" customHeight="1">
      <c r="A9" s="2" t="inlineStr">
        <is>
          <t>F08</t>
        </is>
      </c>
      <c r="B9" s="3" t="inlineStr">
        <is>
          <t>线粒体补充剂，支持能量代谢</t>
        </is>
      </c>
      <c r="C9" s="2" t="inlineStr">
        <is>
          <t>Listing标题（Mitochondrial Supplement…supports energy metabolism）</t>
        </is>
      </c>
      <c r="D9" s="3" t="inlineStr">
        <is>
          <t>结构/功能宣称，要加*并配FDA免责声明</t>
        </is>
      </c>
    </row>
    <row r="10">
      <c r="A10" s="2" t="inlineStr">
        <is>
          <t>F09</t>
        </is>
      </c>
      <c r="B10" s="3" t="inlineStr">
        <is>
          <t>纯素（Vegan）</t>
        </is>
      </c>
      <c r="C10" s="2" t="inlineStr">
        <is>
          <t>Listing标题；要点5（植物胶囊）</t>
        </is>
      </c>
      <c r="D10" s="2" t="n"/>
    </row>
    <row r="11">
      <c r="A11" s="2" t="inlineStr">
        <is>
          <t>F10</t>
        </is>
      </c>
      <c r="B11" s="2" t="inlineStr">
        <is>
          <t>Urolithin A来自石榴皮提取物（Punica granatum Peel Extract）</t>
        </is>
      </c>
      <c r="C11" s="3" t="inlineStr">
        <is>
          <t>构图4 Supplement Facts（用户设计稿）</t>
        </is>
      </c>
      <c r="D11" s="2" t="inlineStr">
        <is>
          <t>listing要点里没写，要以实物标签为准</t>
        </is>
      </c>
    </row>
    <row r="12" ht="31" customHeight="1">
      <c r="A12" s="2" t="inlineStr">
        <is>
          <t>F11</t>
        </is>
      </c>
      <c r="B12" s="2" t="inlineStr">
        <is>
          <t>Gluten-Free、Non-GMO、American Owned QC、Formulated in the US with imported ingredients</t>
        </is>
      </c>
      <c r="C12" s="3" t="inlineStr">
        <is>
          <t>用户于2026-09-28确认有依据</t>
        </is>
      </c>
      <c r="D12" s="2" t="inlineStr">
        <is>
          <t>listing没写；请保存好对应的证明文件，以备平台审核</t>
        </is>
      </c>
    </row>
    <row r="13" ht="31" customHeight="1">
      <c r="A13" s="2" t="inlineStr">
        <is>
          <t>F12</t>
        </is>
      </c>
      <c r="B13" s="3" t="inlineStr">
        <is>
          <t>尿石素A由肠道菌群代谢鞣花单宁/鞣花酸产生（常见于石榴、核桃、浆果），不同人的产生能力差异很大</t>
        </is>
      </c>
      <c r="C13" s="3" t="inlineStr">
        <is>
          <t>通用科学背景，非listing。可参考关于urolithin metabotypes的研究，如 Tomás-Barberán FA 等，Mol Nutr Food Res（2014, 2017）</t>
        </is>
      </c>
      <c r="D13" s="3" t="inlineStr">
        <is>
          <t>图1选的科普角度。文案只写“因人而异”，不引用比例；上线前请自行核对文献原文</t>
        </is>
      </c>
    </row>
    <row r="14">
      <c r="A14" s="2" t="inlineStr">
        <is>
          <t>F13</t>
        </is>
      </c>
      <c r="B14" s="3" t="inlineStr">
        <is>
          <t>品牌名ZAB；店铺链接名Transparentbydesign</t>
        </is>
      </c>
      <c r="C14" s="2" t="inlineStr">
        <is>
          <t>Listing品牌字段、店铺链接</t>
        </is>
      </c>
      <c r="D14" s="2" t="inlineStr">
        <is>
          <t>slogan需要确认</t>
        </is>
      </c>
    </row>
    <row r="15">
      <c r="A15" s="2" t="inlineStr">
        <is>
          <t>F14</t>
        </is>
      </c>
      <c r="B15" s="3" t="inlineStr">
        <is>
          <t>为多样的生活方式和日常健康设计</t>
        </is>
      </c>
      <c r="C15" s="2" t="inlineStr">
        <is>
          <t>Listing要点5</t>
        </is>
      </c>
      <c r="D15" s="3" t="inlineStr">
        <is>
          <t>生活方式描述，不涉及功效</t>
        </is>
      </c>
    </row>
    <row r="16" ht="31" customHeight="1">
      <c r="A16" s="3" t="inlineStr">
        <is>
          <t>注</t>
        </is>
      </c>
      <c r="B16" s="3" t="inlineStr">
        <is>
          <t>英文listing原文没能直接抓取（页面被本地化成中文），以上事实是从中文页面回译的。上线前请用英文后台的listing核对措辞。</t>
        </is>
      </c>
      <c r="C16" s="2" t="n"/>
      <c r="D16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2026-09-28T22:21:00Z</dcterms:created>
  <dcterms:modified xsi:type="dcterms:W3CDTF">2026-10-02T05:21:52Z</dcterms:modified>
  <cp:lastModifiedBy>Nexus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703BEBF094A6C2B9687ABA6A52A0D54F_42</vt:lpwstr>
  </property>
  <property name="KSOProductBuildVer" fmtid="{D5CDD505-2E9C-101B-9397-08002B2CF9AE}" pid="3">
    <vt:lpwstr>2052-12.1.26055.26055</vt:lpwstr>
  </property>
  <property name="CalculationRule" fmtid="{D5CDD505-2E9C-101B-9397-08002B2CF9AE}" pid="4">
    <vt:i4>0</vt:i4>
  </property>
</Properties>
</file>