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说明" sheetId="1" state="visible" r:id="rId1"/>
    <sheet name="文案总表" sheetId="2" state="visible" r:id="rId2"/>
    <sheet name="设计修改清单" sheetId="3" state="visible" r:id="rId3"/>
    <sheet name="事实依据" sheetId="4" state="visible" r:id="rId4"/>
  </sheets>
  <definedNames>
    <definedName name="_xlnm._FilterDatabase" localSheetId="1" hidden="1">'文案总表'!$A$1:$M$40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1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808080"/>
      <sz val="9"/>
    </font>
    <font>
      <name val="Noto Sans CJK SC"/>
      <family val="2"/>
      <color rgb="FF808080"/>
      <sz val="9"/>
    </font>
  </fonts>
  <fills count="14">
    <fill>
      <patternFill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DF2F2"/>
        <bgColor rgb="FFFBF7EE"/>
      </patternFill>
    </fill>
    <fill>
      <patternFill patternType="solid">
        <fgColor rgb="FFF2F6FC"/>
        <bgColor rgb="FFEEF8F8"/>
      </patternFill>
    </fill>
    <fill>
      <patternFill patternType="solid">
        <fgColor rgb="FFF4F9F1"/>
        <bgColor rgb="FFEEF8F8"/>
      </patternFill>
    </fill>
    <fill>
      <patternFill patternType="solid">
        <fgColor rgb="FFFBF7EE"/>
        <bgColor rgb="FFFFF8E6"/>
      </patternFill>
    </fill>
    <fill>
      <patternFill patternType="solid">
        <fgColor rgb="FFF5F0FA"/>
        <bgColor rgb="FFF3F3F3"/>
      </patternFill>
    </fill>
    <fill>
      <patternFill patternType="solid">
        <fgColor rgb="FFEEF8F8"/>
        <bgColor rgb="FFF2F6FC"/>
      </patternFill>
    </fill>
    <fill>
      <patternFill patternType="solid">
        <fgColor rgb="FFF3F3F3"/>
        <bgColor rgb="FFF5F0FA"/>
      </patternFill>
    </fill>
    <fill>
      <patternFill patternType="solid">
        <fgColor rgb="FFFFF8E6"/>
        <bgColor rgb="FFFBF7EE"/>
      </patternFill>
    </fill>
    <fill>
      <patternFill patternType="solid">
        <fgColor rgb="FFF8D7DA"/>
        <bgColor rgb="FFF5F0FA"/>
      </patternFill>
    </fill>
    <fill>
      <patternFill patternType="solid">
        <fgColor rgb="FFFFF3CD"/>
        <bgColor rgb="FFFFF8E6"/>
      </patternFill>
    </fill>
    <fill>
      <patternFill patternType="solid">
        <fgColor rgb="FFD9E7F7"/>
        <bgColor rgb="FFF5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2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general" vertical="top" wrapText="1"/>
    </xf>
    <xf numFmtId="0" fontId="13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2" fillId="10" borderId="1" applyAlignment="1" pivotButton="0" quotePrefix="0" xfId="0">
      <alignment horizontal="general" vertical="top" wrapText="1"/>
    </xf>
    <xf numFmtId="0" fontId="13" fillId="1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2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general" vertical="top" wrapText="1"/>
    </xf>
    <xf numFmtId="0" fontId="13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2" fillId="10" borderId="1" applyAlignment="1" pivotButton="0" quotePrefix="0" xfId="0">
      <alignment horizontal="general" vertical="top" wrapText="1"/>
    </xf>
    <xf numFmtId="0" fontId="13" fillId="1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1F1F"/>
          <bgColor rgb="FF000000"/>
        </patternFill>
      </fill>
    </dxf>
    <dxf>
      <fill>
        <patternFill patternType="solid">
          <fgColor rgb="FFEEF8F8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4F9F1"/>
          <bgColor rgb="FF000000"/>
        </patternFill>
      </fill>
    </dxf>
    <dxf>
      <fill>
        <patternFill patternType="solid">
          <fgColor rgb="FFF5F0FA"/>
          <bgColor rgb="FF000000"/>
        </patternFill>
      </fill>
    </dxf>
    <dxf>
      <fill>
        <patternFill patternType="solid">
          <fgColor rgb="FFFBF7EE"/>
          <bgColor rgb="FF000000"/>
        </patternFill>
      </fill>
    </dxf>
    <dxf>
      <fill>
        <patternFill patternType="solid">
          <fgColor rgb="FFFDF2F2"/>
          <bgColor rgb="FF000000"/>
        </patternFill>
      </fill>
    </dxf>
    <dxf>
      <fill>
        <patternFill patternType="solid">
          <fgColor rgb="FFFFF8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BF7E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EF8F8"/>
      <rgbColor rgb="FF660066"/>
      <rgbColor rgb="FFFF8080"/>
      <rgbColor rgb="FF0066CC"/>
      <rgbColor rgb="FFF5F0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7"/>
      <rgbColor rgb="FFF4F9F1"/>
      <rgbColor rgb="FFFFF8E6"/>
      <rgbColor rgb="FFF3F3F3"/>
      <rgbColor rgb="FFFDF2F2"/>
      <rgbColor rgb="FFF2F6FC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0" customWidth="1" style="49" min="1" max="1"/>
  </cols>
  <sheetData>
    <row r="1" ht="21.6" customHeight="1" s="50">
      <c r="A1" s="51" t="inlineStr">
        <is>
          <t>B0XXXXXXXX｜Listing 副图文案 v1</t>
        </is>
      </c>
    </row>
    <row r="2" ht="15" customHeight="1" s="50">
      <c r="A2" s="52" t="inlineStr">
        <is>
          <t>ASIN：B0XXXXXXXX（Amazon US）｜ZAB Urolithin A 700mg，90粒，45份｜副图2～9，1600×1600｜编写日期：2026-09-29</t>
        </is>
      </c>
    </row>
    <row r="3" ht="15" customHeight="1" s="50">
      <c r="A3" s="52" t="n"/>
    </row>
    <row r="4" ht="17.15" customHeight="1" s="50">
      <c r="A4" s="53" t="inlineStr">
        <is>
          <t>怎么用这份表</t>
        </is>
      </c>
    </row>
    <row r="5" ht="15" customHeight="1" s="50">
      <c r="A5" s="52" t="inlineStr">
        <is>
          <t>1. 「文案总表」每行对应构图里的一个文字位。设计直接复制E列（新英文文案），F列是备选句。</t>
        </is>
      </c>
    </row>
    <row r="6" ht="29.85" customHeight="1" s="50">
      <c r="A6" s="52" t="inlineStr">
        <is>
          <t>2. 标注约定：**…** 表示加粗，*…* 表示强调色/斜体，句尾单独的 * 是功能声明星号（要和FDA免责声明对应）。单元格里怎么换行，排版就怎么换行。</t>
        </is>
      </c>
    </row>
    <row r="7" ht="15" customHeight="1" s="50">
      <c r="A7" s="52" t="inlineStr">
        <is>
          <t>3. H列/I列用 LEN 公式统计新文案和占位原文的字符数，J列是差值（正数=比原稿长）。差值超过 +10 的位置，需要设计检查是否放得下。</t>
        </is>
      </c>
    </row>
    <row r="8" ht="15" customHeight="1" s="50">
      <c r="A8" s="52" t="inlineStr">
        <is>
          <t>4. 「设计修改清单」列出图片或素材层面要改的地方（不是文案），上线前需要逐项关掉。</t>
        </is>
      </c>
    </row>
    <row r="9" ht="15" customHeight="1" s="50">
      <c r="A9" s="52" t="inlineStr">
        <is>
          <t>5. 「事实依据」列出每条文案引用的事实编号（F01…）及出处。</t>
        </is>
      </c>
    </row>
    <row r="10" ht="15" customHeight="1" s="50">
      <c r="A10" s="52" t="n"/>
    </row>
    <row r="11" ht="17.15" customHeight="1" s="50">
      <c r="A11" s="53" t="inlineStr">
        <is>
          <t>本次已确认的决定</t>
        </is>
      </c>
    </row>
    <row r="12" ht="15" customHeight="1" s="50">
      <c r="A12" s="52" t="inlineStr">
        <is>
          <t>· 主图为纯白底瓶身，不写文案；本表只含副图2～9</t>
        </is>
      </c>
    </row>
    <row r="13" ht="15" customHeight="1" s="50">
      <c r="A13" s="52" t="inlineStr">
        <is>
          <t>· 副图6对照列改为按属性限定（Without These Standards），红叉换灰色短横</t>
        </is>
      </c>
    </row>
    <row r="14" ht="15" customHeight="1" s="50">
      <c r="A14" s="52" t="inlineStr">
        <is>
          <t>· Third-Party Tested（有检测报告）与 Cellular Health / Cellular Function 方向可以使用，均带*</t>
        </is>
      </c>
    </row>
    <row r="15" ht="15" customHeight="1" s="50">
      <c r="A15" s="52" t="inlineStr">
        <is>
          <t>· 顺序调整：场景图（原副图9）排第8，标签图（原副图8）排第9</t>
        </is>
      </c>
    </row>
    <row r="16" ht="15" customHeight="1" s="50">
      <c r="A16" s="52" t="inlineStr">
        <is>
          <t>· Logo统一为ZAB；事实沿用A+文案v1的F01～F14，新增F15、F16</t>
        </is>
      </c>
    </row>
    <row r="17" ht="15" customHeight="1" s="50">
      <c r="A17" s="52" t="n"/>
    </row>
    <row r="18" ht="17.15" customHeight="1" s="50">
      <c r="A18" s="53" t="inlineStr">
        <is>
          <t>写作规则（规则卡摘要）</t>
        </is>
      </c>
    </row>
    <row r="19" ht="15" customHeight="1" s="50">
      <c r="A19" s="52" t="inlineStr">
        <is>
          <t>· 副图每张独立成立，不依赖上一张承接；大标题≤2行，正文≤3行，手机缩略图下仍可读</t>
        </is>
      </c>
    </row>
    <row r="20" ht="15" customHeight="1" s="50">
      <c r="A20" s="52" t="inlineStr">
        <is>
          <t>· 核心数字700mg在副图2就出现，并始终带per 2-capsule serving</t>
        </is>
      </c>
    </row>
    <row r="21" ht="15" customHeight="1" s="50">
      <c r="A21" s="52" t="inlineStr">
        <is>
          <t>· 叙事顺序：身份+数字 → 多利益 → 成分来源 → 怎么吃 → 对照 → 数字解释 → 场景 → 标签</t>
        </is>
      </c>
    </row>
    <row r="22" ht="15" customHeight="1" s="50">
      <c r="A22" s="52" t="inlineStr">
        <is>
          <t>· 对照表的对象按属性限定，不泛指竞品；本列文字灰色中性</t>
        </is>
      </c>
    </row>
    <row r="23" ht="15" customHeight="1" s="50">
      <c r="A23" s="52" t="inlineStr">
        <is>
          <t>· 石榴在本品是真实原料来源（F10），可以指向；食物之外不加任何吸收/效力数字</t>
        </is>
      </c>
    </row>
    <row r="24" ht="15" customHeight="1" s="50">
      <c r="A24" s="52" t="inlineStr">
        <is>
          <t>· 每张出现带*的句子就在该图底边放FDA声明；标签图与实物标签逐字一致</t>
        </is>
      </c>
    </row>
    <row r="25" ht="15" customHeight="1" s="50">
      <c r="A25" s="52" t="n"/>
    </row>
    <row r="26" ht="17.15" customHeight="1" s="50">
      <c r="A26" s="53" t="inlineStr">
        <is>
          <t>其他说明</t>
        </is>
      </c>
    </row>
    <row r="27" ht="15" customHeight="1" s="50">
      <c r="A27" s="52" t="inlineStr">
        <is>
          <t>· 亚马逊桌面端默认显示前7张缩略图，第8、9张需点开查看；标签图放最后供查证，与对标品牌一致</t>
        </is>
      </c>
    </row>
    <row r="28" ht="15" customHeight="1" s="50">
      <c r="A28" s="52" t="inlineStr">
        <is>
          <t>· listing图库没有alt文本字段，本表不含Alt行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49" min="1" max="1"/>
    <col width="10" customWidth="1" style="49" min="2" max="2"/>
    <col width="16" customWidth="1" style="49" min="3" max="3"/>
    <col width="24" customWidth="1" style="49" min="4" max="4"/>
    <col width="44" customWidth="1" style="49" min="5" max="5"/>
    <col width="34" customWidth="1" style="49" min="6" max="6"/>
    <col width="28" customWidth="1" style="49" min="7" max="7"/>
    <col width="9" customWidth="1" style="49" min="8" max="9"/>
    <col width="7" customWidth="1" style="49" min="10" max="10"/>
    <col width="34" customWidth="1" style="49" min="11" max="11"/>
    <col width="12" customWidth="1" style="49" min="12" max="12"/>
    <col width="52" customWidth="1" style="49" min="13" max="13"/>
  </cols>
  <sheetData>
    <row r="1" ht="30" customHeight="1" s="50">
      <c r="A1" s="54" t="inlineStr">
        <is>
          <t>编号</t>
        </is>
      </c>
      <c r="B1" s="54" t="inlineStr">
        <is>
          <t>图片</t>
        </is>
      </c>
      <c r="C1" s="54" t="inlineStr">
        <is>
          <t>构图文件</t>
        </is>
      </c>
      <c r="D1" s="54" t="inlineStr">
        <is>
          <t>文字位置</t>
        </is>
      </c>
      <c r="E1" s="54" t="inlineStr">
        <is>
          <t>新英文文案</t>
        </is>
      </c>
      <c r="F1" s="54" t="inlineStr">
        <is>
          <t>备选英文</t>
        </is>
      </c>
      <c r="G1" s="54" t="inlineStr">
        <is>
          <t>中文释义</t>
        </is>
      </c>
      <c r="H1" s="54" t="inlineStr">
        <is>
          <t>新文案字符数</t>
        </is>
      </c>
      <c r="I1" s="54" t="inlineStr">
        <is>
          <t>占位原文字符数</t>
        </is>
      </c>
      <c r="J1" s="54" t="inlineStr">
        <is>
          <t>差值</t>
        </is>
      </c>
      <c r="K1" s="54" t="inlineStr">
        <is>
          <t>占位原文（设计稿）</t>
        </is>
      </c>
      <c r="L1" s="54" t="inlineStr">
        <is>
          <t>事实依据</t>
        </is>
      </c>
      <c r="M1" s="54" t="inlineStr">
        <is>
          <t>合规 / 设计备注</t>
        </is>
      </c>
    </row>
    <row r="2" ht="35.05" customHeight="1" s="50">
      <c r="A2" s="55" t="inlineStr">
        <is>
          <t>S2-01</t>
        </is>
      </c>
      <c r="B2" s="56" t="inlineStr">
        <is>
          <t>副图2</t>
        </is>
      </c>
      <c r="C2" s="56" t="inlineStr">
        <is>
          <t>副图2.png</t>
        </is>
      </c>
      <c r="D2" s="56" t="inlineStr">
        <is>
          <t>大标题（黑体2行＋红色斜体1行，红色部分用 *…* 标出）</t>
        </is>
      </c>
      <c r="E2" s="57" t="inlineStr">
        <is>
          <t>Daily Urolithin A,
*Made Simple.*</t>
        </is>
      </c>
      <c r="F2" s="55" t="inlineStr">
        <is>
          <t>Urolithin A.
One Ingredient,
*One Clear Dose.*</t>
        </is>
      </c>
      <c r="G2" s="56" t="inlineStr">
        <is>
          <t>每日尿石素A，简单明了。</t>
        </is>
      </c>
      <c r="H2" s="55">
        <f>LEN(E2)</f>
        <v/>
      </c>
      <c r="I2" s="55">
        <f>IF(OR(K2="—",K2="",LEFT(K2,1)="（"),"",LEN(K2))</f>
        <v/>
      </c>
      <c r="J2" s="55">
        <f>IF(I2="","",H2-I2)</f>
        <v/>
      </c>
      <c r="K2" s="58" t="inlineStr">
        <is>
          <t>Feel Good
from the
*Inside Out*</t>
        </is>
      </c>
      <c r="L2" s="55" t="inlineStr">
        <is>
          <t>F01, F13</t>
        </is>
      </c>
      <c r="M2" s="56" t="inlineStr">
        <is>
          <t>第一张副图回答“这是什么”。不写功效，所以不带星号。原稿三行，新文案两行；如要保持三行用备选句。</t>
        </is>
      </c>
    </row>
    <row r="3" ht="44" customHeight="1" s="50">
      <c r="A3" s="55" t="inlineStr">
        <is>
          <t>S2-02</t>
        </is>
      </c>
      <c r="B3" s="56" t="inlineStr">
        <is>
          <t>副图2</t>
        </is>
      </c>
      <c r="C3" s="56" t="inlineStr">
        <is>
          <t>副图2.png</t>
        </is>
      </c>
      <c r="D3" s="56" t="inlineStr">
        <is>
          <t>副文（2行，加粗数字用 **…** 标出）</t>
        </is>
      </c>
      <c r="E3" s="57" t="inlineStr">
        <is>
          <t>**700mg** Urolithin A per 2-capsule
serving to support energy metabolism.*</t>
        </is>
      </c>
      <c r="F3" s="55" t="inlineStr">
        <is>
          <t>**700mg** Urolithin A per serving.
90 capsules, 45 daily servings.</t>
        </is>
      </c>
      <c r="G3" s="56" t="inlineStr">
        <is>
          <t>每份（2粒）700mg尿石素A，支持能量代谢。* / 备选：每份700mg，90粒，45份。</t>
        </is>
      </c>
      <c r="H3" s="55">
        <f>LEN(E3)</f>
        <v/>
      </c>
      <c r="I3" s="55">
        <f>IF(OR(K3="—",K3="",LEFT(K3,1)="（"),"",LEN(K3))</f>
        <v/>
      </c>
      <c r="J3" s="55">
        <f>IF(I3="","",H3-I3)</f>
        <v/>
      </c>
      <c r="K3" s="58" t="inlineStr">
        <is>
          <t>1,000mg Urolithin A daily to
support your active lifestyle.*</t>
        </is>
      </c>
      <c r="L3" s="55" t="inlineStr">
        <is>
          <t>F01, F02, F08</t>
        </is>
      </c>
      <c r="M3" s="56" t="inlineStr">
        <is>
          <t>【必改】原稿1,000mg是1000mg软胶囊那款的数据。主句带功能声明星号，画面上需要FDA声明（见S2-04）；如果不想在首张副图放FDA小字，就用备选句（无功效、无星号）。</t>
        </is>
      </c>
    </row>
    <row r="4" ht="44" customHeight="1" s="50">
      <c r="A4" s="55" t="inlineStr">
        <is>
          <t>S2-03</t>
        </is>
      </c>
      <c r="B4" s="56" t="inlineStr">
        <is>
          <t>副图2</t>
        </is>
      </c>
      <c r="C4" s="56" t="inlineStr">
        <is>
          <t>副图2.png</t>
        </is>
      </c>
      <c r="D4" s="56" t="inlineStr">
        <is>
          <t>左下Logo区</t>
        </is>
      </c>
      <c r="E4" s="57" t="inlineStr">
        <is>
          <t>ZAB</t>
        </is>
      </c>
      <c r="F4" s="55" t="inlineStr">
        <is>
          <t>—</t>
        </is>
      </c>
      <c r="G4" s="56" t="inlineStr">
        <is>
          <t>品牌Logo：ZAB。</t>
        </is>
      </c>
      <c r="H4" s="55">
        <f>LEN(E4)</f>
        <v/>
      </c>
      <c r="I4" s="55">
        <f>IF(OR(K4="—",K4="",LEFT(K4,1)="（"),"",LEN(K4))</f>
        <v/>
      </c>
      <c r="J4" s="55">
        <f>IF(I4="","",H4-I4)</f>
        <v/>
      </c>
      <c r="K4" s="58" t="inlineStr">
        <is>
          <t>ZABORATORY™
series</t>
        </is>
      </c>
      <c r="L4" s="55" t="inlineStr">
        <is>
          <t>F13</t>
        </is>
      </c>
      <c r="M4" s="56" t="inlineStr">
        <is>
          <t>【必改】Logo统一用listing品牌ZAB／瓶身的Zab标识，去掉ZABORATORY series。瓶身渲染是Capsules款，请核对是700mg版本。</t>
        </is>
      </c>
    </row>
    <row r="5" ht="46.25" customHeight="1" s="50">
      <c r="A5" s="55" t="inlineStr">
        <is>
          <t>S2-04</t>
        </is>
      </c>
      <c r="B5" s="56" t="inlineStr">
        <is>
          <t>副图2</t>
        </is>
      </c>
      <c r="C5" s="56" t="inlineStr">
        <is>
          <t>副图2.png</t>
        </is>
      </c>
      <c r="D5" s="56" t="inlineStr">
        <is>
          <t>【新增·可选】底边FDA声明小字</t>
        </is>
      </c>
      <c r="E5" s="57" t="inlineStr">
        <is>
          <t>*These statements have not been evaluated by the Food and Drug Administration. This product is not intended to diagnose, treat, cure, or prevent any disease.</t>
        </is>
      </c>
      <c r="F5" s="55" t="inlineStr">
        <is>
          <t>—</t>
        </is>
      </c>
      <c r="G5" s="55" t="inlineStr">
        <is>
          <t>FDA免责声明（与带*的功能句配套）。</t>
        </is>
      </c>
      <c r="H5" s="55">
        <f>LEN(E5)</f>
        <v/>
      </c>
      <c r="I5" s="55">
        <f>IF(OR(K5="—",K5="",LEFT(K5,1)="（"),"",LEN(K5))</f>
        <v/>
      </c>
      <c r="J5" s="55">
        <f>IF(I5="","",H5-I5)</f>
        <v/>
      </c>
      <c r="K5" s="59" t="inlineStr">
        <is>
          <t>（无）</t>
        </is>
      </c>
      <c r="L5" s="55" t="inlineStr">
        <is>
          <t>F08</t>
        </is>
      </c>
      <c r="M5" s="56" t="inlineStr">
        <is>
          <t>只有采用S2-02主句时才需要；用备选句则不放。</t>
        </is>
      </c>
    </row>
    <row r="6" ht="23.85" customHeight="1" s="50">
      <c r="A6" s="60" t="inlineStr">
        <is>
          <t>S3-01</t>
        </is>
      </c>
      <c r="B6" s="61" t="inlineStr">
        <is>
          <t>副图3</t>
        </is>
      </c>
      <c r="C6" s="61" t="inlineStr">
        <is>
          <t>副图3.png</t>
        </is>
      </c>
      <c r="D6" s="61" t="inlineStr">
        <is>
          <t>顶部标题（白字2行）</t>
        </is>
      </c>
      <c r="E6" s="62" t="inlineStr">
        <is>
          <t>What Your Daily
Serving Supports*</t>
        </is>
      </c>
      <c r="F6" s="60" t="inlineStr">
        <is>
          <t>Three Ways It
Works for You*</t>
        </is>
      </c>
      <c r="G6" s="61" t="inlineStr">
        <is>
          <t>每日一份，支持这三件事*</t>
        </is>
      </c>
      <c r="H6" s="60">
        <f>LEN(E6)</f>
        <v/>
      </c>
      <c r="I6" s="60">
        <f>IF(OR(K6="—",K6="",LEFT(K6,1)="（"),"",LEN(K6))</f>
        <v/>
      </c>
      <c r="J6" s="60">
        <f>IF(I6="","",H6-I6)</f>
        <v/>
      </c>
      <c r="K6" s="63" t="inlineStr">
        <is>
          <t>Repeating Processing and see
the result.</t>
        </is>
      </c>
      <c r="L6" s="60" t="inlineStr">
        <is>
          <t>F08, F16</t>
        </is>
      </c>
      <c r="M6" s="61" t="inlineStr">
        <is>
          <t>标题带星号，指向下面三条功能词。深木背景白字，对比够。</t>
        </is>
      </c>
    </row>
    <row r="7" ht="15" customHeight="1" s="50">
      <c r="A7" s="60" t="inlineStr">
        <is>
          <t>S3-02</t>
        </is>
      </c>
      <c r="B7" s="61" t="inlineStr">
        <is>
          <t>副图3</t>
        </is>
      </c>
      <c r="C7" s="61" t="inlineStr">
        <is>
          <t>副图3.png</t>
        </is>
      </c>
      <c r="D7" s="61" t="inlineStr">
        <is>
          <t>利益点1（闪电循环图标）</t>
        </is>
      </c>
      <c r="E7" s="62" t="inlineStr">
        <is>
          <t>Energy Metabolism*</t>
        </is>
      </c>
      <c r="F7" s="60" t="inlineStr">
        <is>
          <t>Daily Energy Metabolism*</t>
        </is>
      </c>
      <c r="G7" s="61" t="inlineStr">
        <is>
          <t>能量代谢*</t>
        </is>
      </c>
      <c r="H7" s="60">
        <f>LEN(E7)</f>
        <v/>
      </c>
      <c r="I7" s="60">
        <f>IF(OR(K7="—",K7="",LEFT(K7,1)="（"),"",LEN(K7))</f>
        <v/>
      </c>
      <c r="J7" s="60">
        <f>IF(I7="","",H7-I7)</f>
        <v/>
      </c>
      <c r="K7" s="63" t="inlineStr">
        <is>
          <t>Key Benefit 1</t>
        </is>
      </c>
      <c r="L7" s="60" t="inlineStr">
        <is>
          <t>F08</t>
        </is>
      </c>
      <c r="M7" s="61" t="inlineStr">
        <is>
          <t>对应listing标题的“supports energy metabolism”。</t>
        </is>
      </c>
    </row>
    <row r="8" ht="29.85" customHeight="1" s="50">
      <c r="A8" s="60" t="inlineStr">
        <is>
          <t>S3-03</t>
        </is>
      </c>
      <c r="B8" s="61" t="inlineStr">
        <is>
          <t>副图3</t>
        </is>
      </c>
      <c r="C8" s="61" t="inlineStr">
        <is>
          <t>副图3.png</t>
        </is>
      </c>
      <c r="D8" s="61" t="inlineStr">
        <is>
          <t>利益点2（细胞+图标）</t>
        </is>
      </c>
      <c r="E8" s="62" t="inlineStr">
        <is>
          <t>Cellular Health*</t>
        </is>
      </c>
      <c r="F8" s="60" t="inlineStr">
        <is>
          <t>Healthy Cell Function*</t>
        </is>
      </c>
      <c r="G8" s="61" t="inlineStr">
        <is>
          <t>细胞健康*</t>
        </is>
      </c>
      <c r="H8" s="60">
        <f>LEN(E8)</f>
        <v/>
      </c>
      <c r="I8" s="60">
        <f>IF(OR(K8="—",K8="",LEFT(K8,1)="（"),"",LEN(K8))</f>
        <v/>
      </c>
      <c r="J8" s="60">
        <f>IF(I8="","",H8-I8)</f>
        <v/>
      </c>
      <c r="K8" s="63" t="inlineStr">
        <is>
          <t>Key Benefit 2</t>
        </is>
      </c>
      <c r="L8" s="60" t="inlineStr">
        <is>
          <t>F16</t>
        </is>
      </c>
      <c r="M8" s="61" t="inlineStr">
        <is>
          <t>用户2026-09-29确认：瓶身标签印有Supports Cellular Health / Cell Function。</t>
        </is>
      </c>
    </row>
    <row r="9" ht="29.85" customHeight="1" s="50">
      <c r="A9" s="60" t="inlineStr">
        <is>
          <t>S3-04</t>
        </is>
      </c>
      <c r="B9" s="61" t="inlineStr">
        <is>
          <t>副图3</t>
        </is>
      </c>
      <c r="C9" s="61" t="inlineStr">
        <is>
          <t>副图3.png</t>
        </is>
      </c>
      <c r="D9" s="61" t="inlineStr">
        <is>
          <t>利益点3（线粒体图标）</t>
        </is>
      </c>
      <c r="E9" s="62" t="inlineStr">
        <is>
          <t>Mitochondrial Support*</t>
        </is>
      </c>
      <c r="F9" s="60" t="inlineStr">
        <is>
          <t>Mitochondrial Function*</t>
        </is>
      </c>
      <c r="G9" s="61" t="inlineStr">
        <is>
          <t>线粒体支持*</t>
        </is>
      </c>
      <c r="H9" s="60">
        <f>LEN(E9)</f>
        <v/>
      </c>
      <c r="I9" s="60">
        <f>IF(OR(K9="—",K9="",LEFT(K9,1)="（"),"",LEN(K9))</f>
        <v/>
      </c>
      <c r="J9" s="60">
        <f>IF(I9="","",H9-I9)</f>
        <v/>
      </c>
      <c r="K9" s="63" t="inlineStr">
        <is>
          <t>Key Benefit 3</t>
        </is>
      </c>
      <c r="L9" s="60" t="inlineStr">
        <is>
          <t>F08</t>
        </is>
      </c>
      <c r="M9" s="60" t="inlineStr">
        <is>
          <t>listing标题自称Mitochondrial Supplement，写“support”不写具体结果。</t>
        </is>
      </c>
    </row>
    <row r="10" ht="46.25" customHeight="1" s="50">
      <c r="A10" s="60" t="inlineStr">
        <is>
          <t>S3-05</t>
        </is>
      </c>
      <c r="B10" s="61" t="inlineStr">
        <is>
          <t>副图3</t>
        </is>
      </c>
      <c r="C10" s="61" t="inlineStr">
        <is>
          <t>副图3.png</t>
        </is>
      </c>
      <c r="D10" s="61" t="inlineStr">
        <is>
          <t>【新增】底边FDA声明小字</t>
        </is>
      </c>
      <c r="E10" s="62" t="inlineStr">
        <is>
          <t>*These statements have not been evaluated by the Food and Drug Administration. This product is not intended to diagnose, treat, cure, or prevent any disease.</t>
        </is>
      </c>
      <c r="F10" s="60" t="inlineStr">
        <is>
          <t>—</t>
        </is>
      </c>
      <c r="G10" s="60" t="inlineStr">
        <is>
          <t>FDA免责声明。</t>
        </is>
      </c>
      <c r="H10" s="60">
        <f>LEN(E10)</f>
        <v/>
      </c>
      <c r="I10" s="60">
        <f>IF(OR(K10="—",K10="",LEFT(K10,1)="（"),"",LEN(K10))</f>
        <v/>
      </c>
      <c r="J10" s="60">
        <f>IF(I10="","",H10-I10)</f>
        <v/>
      </c>
      <c r="K10" s="64" t="inlineStr">
        <is>
          <t>（无）</t>
        </is>
      </c>
      <c r="L10" s="60" t="inlineStr">
        <is>
          <t>F08, F16</t>
        </is>
      </c>
      <c r="M10" s="61" t="inlineStr">
        <is>
          <t>本图有4处星号，必须放FDA声明；放在木桌台面区域，白色小字，手机端仍要能读。</t>
        </is>
      </c>
    </row>
    <row r="11" ht="29.85" customHeight="1" s="50">
      <c r="A11" s="65" t="inlineStr">
        <is>
          <t>S4-01</t>
        </is>
      </c>
      <c r="B11" s="66" t="inlineStr">
        <is>
          <t>副图4</t>
        </is>
      </c>
      <c r="C11" s="66" t="inlineStr">
        <is>
          <t>副图4.png</t>
        </is>
      </c>
      <c r="D11" s="66" t="inlineStr">
        <is>
          <t>【可选新增】左上小标题</t>
        </is>
      </c>
      <c r="E11" s="67" t="inlineStr">
        <is>
          <t>What's Inside</t>
        </is>
      </c>
      <c r="F11" s="65" t="inlineStr">
        <is>
          <t>One Ingredient, Clearly Sourced</t>
        </is>
      </c>
      <c r="G11" s="66" t="inlineStr">
        <is>
          <t>里面是什么</t>
        </is>
      </c>
      <c r="H11" s="65">
        <f>LEN(E11)</f>
        <v/>
      </c>
      <c r="I11" s="65">
        <f>IF(OR(K11="—",K11="",LEFT(K11,1)="（"),"",LEN(K11))</f>
        <v/>
      </c>
      <c r="J11" s="65">
        <f>IF(I11="","",H11-I11)</f>
        <v/>
      </c>
      <c r="K11" s="68" t="inlineStr">
        <is>
          <t>（无）</t>
        </is>
      </c>
      <c r="L11" s="65" t="inlineStr">
        <is>
          <t>F10</t>
        </is>
      </c>
      <c r="M11" s="66" t="inlineStr">
        <is>
          <t>原稿没有标题；三条引线文字单独成立也可以。若加标题，放左上空白处，字号小于引线文字。</t>
        </is>
      </c>
    </row>
    <row r="12" ht="29.85" customHeight="1" s="50">
      <c r="A12" s="65" t="inlineStr">
        <is>
          <t>S4-02</t>
        </is>
      </c>
      <c r="B12" s="66" t="inlineStr">
        <is>
          <t>副图4</t>
        </is>
      </c>
      <c r="C12" s="66" t="inlineStr">
        <is>
          <t>副图4.png</t>
        </is>
      </c>
      <c r="D12" s="66" t="inlineStr">
        <is>
          <t>引线1（右上，指向空培养皿）</t>
        </is>
      </c>
      <c r="E12" s="67" t="inlineStr">
        <is>
          <t>Plus MCT Oil &amp; Sunflower Lecithin</t>
        </is>
      </c>
      <c r="F12" s="65" t="inlineStr">
        <is>
          <t>Carried in MCT Oil &amp; Sunflower Lecithin</t>
        </is>
      </c>
      <c r="G12" s="66" t="inlineStr">
        <is>
          <t>配方另含MCT油与葵花卵磷脂。</t>
        </is>
      </c>
      <c r="H12" s="65">
        <f>LEN(E12)</f>
        <v/>
      </c>
      <c r="I12" s="65">
        <f>IF(OR(K12="—",K12="",LEFT(K12,1)="（"),"",LEN(K12))</f>
        <v/>
      </c>
      <c r="J12" s="65">
        <f>IF(I12="","",H12-I12)</f>
        <v/>
      </c>
      <c r="K12" s="68" t="inlineStr">
        <is>
          <t>点线成分Topic Point 1</t>
        </is>
      </c>
      <c r="L12" s="65" t="inlineStr">
        <is>
          <t>F03</t>
        </is>
      </c>
      <c r="M12" s="66" t="inlineStr">
        <is>
          <t>【必改】删掉中文占位“点线成分”。只写“含有”，不写促进吸收。</t>
        </is>
      </c>
    </row>
    <row r="13" ht="29.85" customHeight="1" s="50">
      <c r="A13" s="65" t="inlineStr">
        <is>
          <t>S4-03</t>
        </is>
      </c>
      <c r="B13" s="66" t="inlineStr">
        <is>
          <t>副图4</t>
        </is>
      </c>
      <c r="C13" s="66" t="inlineStr">
        <is>
          <t>副图4.png</t>
        </is>
      </c>
      <c r="D13" s="66" t="inlineStr">
        <is>
          <t>引线2（中，指向石榴）</t>
        </is>
      </c>
      <c r="E13" s="67" t="inlineStr">
        <is>
          <t>Sourced from Pomegranate Peel Extract</t>
        </is>
      </c>
      <c r="F13" s="65" t="inlineStr">
        <is>
          <t>From Punica granatum Peel Extract</t>
        </is>
      </c>
      <c r="G13" s="66" t="inlineStr">
        <is>
          <t>来源：石榴皮提取物。</t>
        </is>
      </c>
      <c r="H13" s="65">
        <f>LEN(E13)</f>
        <v/>
      </c>
      <c r="I13" s="65">
        <f>IF(OR(K13="—",K13="",LEFT(K13,1)="（"),"",LEN(K13))</f>
        <v/>
      </c>
      <c r="J13" s="65">
        <f>IF(I13="","",H13-I13)</f>
        <v/>
      </c>
      <c r="K13" s="68" t="inlineStr">
        <is>
          <t>点线成分Topic Point 2</t>
        </is>
      </c>
      <c r="L13" s="65" t="inlineStr">
        <is>
          <t>F10</t>
        </is>
      </c>
      <c r="M13" s="66" t="inlineStr">
        <is>
          <t>这一款的石榴是真实原料来源（标签写Punica granatum Peel Extract），可以直接指向。备选句学名种加词小写。</t>
        </is>
      </c>
    </row>
    <row r="14" ht="15" customHeight="1" s="50">
      <c r="A14" s="65" t="inlineStr">
        <is>
          <t>S4-04</t>
        </is>
      </c>
      <c r="B14" s="66" t="inlineStr">
        <is>
          <t>副图4</t>
        </is>
      </c>
      <c r="C14" s="66" t="inlineStr">
        <is>
          <t>副图4.png</t>
        </is>
      </c>
      <c r="D14" s="66" t="inlineStr">
        <is>
          <t>引线3（左，指向粉末）</t>
        </is>
      </c>
      <c r="E14" s="67" t="inlineStr">
        <is>
          <t>**700mg** Urolithin A per 2-Capsule Serving</t>
        </is>
      </c>
      <c r="F14" s="65" t="inlineStr">
        <is>
          <t>Urolithin A · **700mg** per Serving</t>
        </is>
      </c>
      <c r="G14" s="66" t="inlineStr">
        <is>
          <t>每份（2粒）700mg尿石素A。</t>
        </is>
      </c>
      <c r="H14" s="65">
        <f>LEN(E14)</f>
        <v/>
      </c>
      <c r="I14" s="65">
        <f>IF(OR(K14="—",K14="",LEFT(K14,1)="（"),"",LEN(K14))</f>
        <v/>
      </c>
      <c r="J14" s="65">
        <f>IF(I14="","",H14-I14)</f>
        <v/>
      </c>
      <c r="K14" s="68" t="inlineStr">
        <is>
          <t>点线成分Topic Point 3</t>
        </is>
      </c>
      <c r="L14" s="65" t="inlineStr">
        <is>
          <t>F01</t>
        </is>
      </c>
      <c r="M14" s="66" t="inlineStr">
        <is>
          <t>粉末即尿石素A本体，数字带对象和份量。</t>
        </is>
      </c>
    </row>
    <row r="15" ht="29.85" customHeight="1" s="50">
      <c r="A15" s="69" t="inlineStr">
        <is>
          <t>S5-01</t>
        </is>
      </c>
      <c r="B15" s="70" t="inlineStr">
        <is>
          <t>副图5</t>
        </is>
      </c>
      <c r="C15" s="70" t="inlineStr">
        <is>
          <t>副图5.png</t>
        </is>
      </c>
      <c r="D15" s="70" t="inlineStr">
        <is>
          <t>顶部标题（白字2行，右侧被裁切）</t>
        </is>
      </c>
      <c r="E15" s="71" t="inlineStr">
        <is>
          <t>Two Capsules.
Once a Day.</t>
        </is>
      </c>
      <c r="F15" s="69" t="inlineStr">
        <is>
          <t>Your Daily Two.</t>
        </is>
      </c>
      <c r="G15" s="70" t="inlineStr">
        <is>
          <t>每天两粒，一次搞定。</t>
        </is>
      </c>
      <c r="H15" s="69">
        <f>LEN(E15)</f>
        <v/>
      </c>
      <c r="I15" s="69">
        <f>IF(OR(K15="—",K15="",LEFT(K15,1)="（"),"",LEN(K15))</f>
        <v/>
      </c>
      <c r="J15" s="69">
        <f>IF(I15="","",H15-I15)</f>
        <v/>
      </c>
      <c r="K15" s="72" t="inlineStr">
        <is>
          <t>Repeating Processing a…
see the result.</t>
        </is>
      </c>
      <c r="L15" s="69" t="inlineStr">
        <is>
          <t>F06</t>
        </is>
      </c>
      <c r="M15" s="70" t="inlineStr">
        <is>
          <t>【设计】原稿第一行超出画面右边被裁掉，且白字压在浅色皮肤上。新标题短，建议整体左移或加淡色底。</t>
        </is>
      </c>
    </row>
    <row r="16" ht="29.85" customHeight="1" s="50">
      <c r="A16" s="69" t="inlineStr">
        <is>
          <t>S5-02</t>
        </is>
      </c>
      <c r="B16" s="70" t="inlineStr">
        <is>
          <t>副图5</t>
        </is>
      </c>
      <c r="C16" s="70" t="inlineStr">
        <is>
          <t>副图5.png</t>
        </is>
      </c>
      <c r="D16" s="70" t="inlineStr">
        <is>
          <t>红色圆形图标（闪电循环）</t>
        </is>
      </c>
      <c r="E16" s="71" t="inlineStr">
        <is>
          <t>—</t>
        </is>
      </c>
      <c r="F16" s="69" t="inlineStr">
        <is>
          <t>—</t>
        </is>
      </c>
      <c r="G16" s="70" t="inlineStr">
        <is>
          <t>保留图标；如需文字标签见备注。</t>
        </is>
      </c>
      <c r="H16" s="69">
        <f>LEN(E16)</f>
        <v/>
      </c>
      <c r="I16" s="69">
        <f>IF(OR(K16="—",K16="",LEFT(K16,1)="（"),"",LEN(K16))</f>
        <v/>
      </c>
      <c r="J16" s="69">
        <f>IF(I16="","",H16-I16)</f>
        <v/>
      </c>
      <c r="K16" s="73" t="inlineStr">
        <is>
          <t>（图标，无文字）</t>
        </is>
      </c>
      <c r="L16" s="69" t="inlineStr">
        <is>
          <t>F08</t>
        </is>
      </c>
      <c r="M16" s="70" t="inlineStr">
        <is>
          <t>可选在图标右侧加小字“Energy Metabolism*”，加了就要配FDA声明；默认不加，保持本图无星号。</t>
        </is>
      </c>
    </row>
    <row r="17" ht="35.05" customHeight="1" s="50">
      <c r="A17" s="69" t="inlineStr">
        <is>
          <t>S5-03</t>
        </is>
      </c>
      <c r="B17" s="70" t="inlineStr">
        <is>
          <t>副图5</t>
        </is>
      </c>
      <c r="C17" s="70" t="inlineStr">
        <is>
          <t>副图5.png</t>
        </is>
      </c>
      <c r="D17" s="70" t="inlineStr">
        <is>
          <t>底部说明（白字3行）</t>
        </is>
      </c>
      <c r="E17" s="71" t="inlineStr">
        <is>
          <t>Take 2 capsules daily
with water. A small
habit, kept simple.</t>
        </is>
      </c>
      <c r="F17" s="69" t="inlineStr">
        <is>
          <t>2 capsules a day,
with water. That's
the whole routine.</t>
        </is>
      </c>
      <c r="G17" s="70" t="inlineStr">
        <is>
          <t>每日2粒，用水送服。一个简单的小习惯。</t>
        </is>
      </c>
      <c r="H17" s="69">
        <f>LEN(E17)</f>
        <v/>
      </c>
      <c r="I17" s="69">
        <f>IF(OR(K17="—",K17="",LEFT(K17,1)="（"),"",LEN(K17))</f>
        <v/>
      </c>
      <c r="J17" s="69">
        <f>IF(I17="","",H17-I17)</f>
        <v/>
      </c>
      <c r="K17" s="72" t="inlineStr">
        <is>
          <t>Repeating
Processing and
see the result.</t>
        </is>
      </c>
      <c r="L17" s="69" t="inlineStr">
        <is>
          <t>F06</t>
        </is>
      </c>
      <c r="M17" s="69" t="inlineStr">
        <is>
          <t>listing没规定服用时段，所以不写morning/evening。不写“easy to swallow”（胶囊尺寸没有依据）。</t>
        </is>
      </c>
    </row>
    <row r="18" ht="29.85" customHeight="1" s="50">
      <c r="A18" s="74" t="inlineStr">
        <is>
          <t>S6-01</t>
        </is>
      </c>
      <c r="B18" s="75" t="inlineStr">
        <is>
          <t>副图6</t>
        </is>
      </c>
      <c r="C18" s="75" t="inlineStr">
        <is>
          <t>副图6.png</t>
        </is>
      </c>
      <c r="D18" s="75" t="inlineStr">
        <is>
          <t>左侧标题（第二行“apart”加粗）</t>
        </is>
      </c>
      <c r="E18" s="76" t="inlineStr">
        <is>
          <t>What Sets
Us **Apart**</t>
        </is>
      </c>
      <c r="F18" s="74" t="inlineStr">
        <is>
          <t>Clear Label,
**Clear Choice**</t>
        </is>
      </c>
      <c r="G18" s="75" t="inlineStr">
        <is>
          <t>我们的不同之处</t>
        </is>
      </c>
      <c r="H18" s="74">
        <f>LEN(E18)</f>
        <v/>
      </c>
      <c r="I18" s="74">
        <f>IF(OR(K18="—",K18="",LEFT(K18,1)="（"),"",LEN(K18))</f>
        <v/>
      </c>
      <c r="J18" s="74">
        <f>IF(I18="","",H18-I18)</f>
        <v/>
      </c>
      <c r="K18" s="77" t="inlineStr">
        <is>
          <t>What sets
us **apart**</t>
        </is>
      </c>
      <c r="L18" s="74" t="inlineStr">
        <is>
          <t>—</t>
        </is>
      </c>
      <c r="M18" s="75" t="inlineStr">
        <is>
          <t>原句可用，只统一大小写。</t>
        </is>
      </c>
    </row>
    <row r="19" ht="29.85" customHeight="1" s="50">
      <c r="A19" s="74" t="inlineStr">
        <is>
          <t>S6-02</t>
        </is>
      </c>
      <c r="B19" s="75" t="inlineStr">
        <is>
          <t>副图6</t>
        </is>
      </c>
      <c r="C19" s="75" t="inlineStr">
        <is>
          <t>副图6.png</t>
        </is>
      </c>
      <c r="D19" s="75" t="inlineStr">
        <is>
          <t>本品列表头（Logo＋胶囊图）</t>
        </is>
      </c>
      <c r="E19" s="76" t="inlineStr">
        <is>
          <t>ZAB
Urolithin A</t>
        </is>
      </c>
      <c r="F19" s="74" t="inlineStr">
        <is>
          <t>—</t>
        </is>
      </c>
      <c r="G19" s="75" t="inlineStr">
        <is>
          <t>本品列：ZAB 尿石素A。</t>
        </is>
      </c>
      <c r="H19" s="74">
        <f>LEN(E19)</f>
        <v/>
      </c>
      <c r="I19" s="74">
        <f>IF(OR(K19="—",K19="",LEFT(K19,1)="（"),"",LEN(K19))</f>
        <v/>
      </c>
      <c r="J19" s="74">
        <f>IF(I19="","",H19-I19)</f>
        <v/>
      </c>
      <c r="K19" s="77" t="inlineStr">
        <is>
          <t>ZABORATORY™
series</t>
        </is>
      </c>
      <c r="L19" s="74" t="inlineStr">
        <is>
          <t>F13</t>
        </is>
      </c>
      <c r="M19" s="75" t="inlineStr">
        <is>
          <t>【必改】Logo换ZAB。胶囊图与本品一致，可保留。</t>
        </is>
      </c>
    </row>
    <row r="20" ht="29.85" customHeight="1" s="50">
      <c r="A20" s="74" t="inlineStr">
        <is>
          <t>S6-03</t>
        </is>
      </c>
      <c r="B20" s="75" t="inlineStr">
        <is>
          <t>副图6</t>
        </is>
      </c>
      <c r="C20" s="75" t="inlineStr">
        <is>
          <t>副图6.png</t>
        </is>
      </c>
      <c r="D20" s="75" t="inlineStr">
        <is>
          <t>对照列表头（2行）</t>
        </is>
      </c>
      <c r="E20" s="76" t="inlineStr">
        <is>
          <t>Without These
Standards</t>
        </is>
      </c>
      <c r="F20" s="74" t="inlineStr">
        <is>
          <t>Products That
Skip These Steps</t>
        </is>
      </c>
      <c r="G20" s="75" t="inlineStr">
        <is>
          <t>对照列：不具备这些标准的产品</t>
        </is>
      </c>
      <c r="H20" s="74">
        <f>LEN(E20)</f>
        <v/>
      </c>
      <c r="I20" s="74">
        <f>IF(OR(K20="—",K20="",LEFT(K20,1)="（"),"",LEN(K20))</f>
        <v/>
      </c>
      <c r="J20" s="74">
        <f>IF(I20="","",H20-I20)</f>
        <v/>
      </c>
      <c r="K20" s="77" t="inlineStr">
        <is>
          <t>Other
Urolithin A</t>
        </is>
      </c>
      <c r="L20" s="74" t="inlineStr">
        <is>
          <t>—</t>
        </is>
      </c>
      <c r="M20" s="75" t="inlineStr">
        <is>
          <t>用户2026-09-29选择：改成按属性限定的对照，不泛指“其他尿石素A”。【设计】右列的红叉换成灰色短横“—”，语气中性。</t>
        </is>
      </c>
    </row>
    <row r="21" ht="44" customHeight="1" s="50">
      <c r="A21" s="74" t="inlineStr">
        <is>
          <t>S6-04</t>
        </is>
      </c>
      <c r="B21" s="75" t="inlineStr">
        <is>
          <t>副图6</t>
        </is>
      </c>
      <c r="C21" s="75" t="inlineStr">
        <is>
          <t>副图6.png</t>
        </is>
      </c>
      <c r="D21" s="75" t="inlineStr">
        <is>
          <t>对照行1</t>
        </is>
      </c>
      <c r="E21" s="76" t="inlineStr">
        <is>
          <t>Third-Party Tested</t>
        </is>
      </c>
      <c r="F21" s="74" t="inlineStr">
        <is>
          <t>Independently Lab Tested</t>
        </is>
      </c>
      <c r="G21" s="75" t="inlineStr">
        <is>
          <t>第三方检测</t>
        </is>
      </c>
      <c r="H21" s="74">
        <f>LEN(E21)</f>
        <v/>
      </c>
      <c r="I21" s="74">
        <f>IF(OR(K21="—",K21="",LEFT(K21,1)="（"),"",LEN(K21))</f>
        <v/>
      </c>
      <c r="J21" s="74">
        <f>IF(I21="","",H21-I21)</f>
        <v/>
      </c>
      <c r="K21" s="77" t="inlineStr">
        <is>
          <t>Third-Party Certified</t>
        </is>
      </c>
      <c r="L21" s="74" t="inlineStr">
        <is>
          <t>F15</t>
        </is>
      </c>
      <c r="M21" s="75" t="inlineStr">
        <is>
          <t>用户2026-09-29确认有检测报告。写“Tested”不写“Certified”——后者暗示有认证机构授牌，与检测报告性质不同。</t>
        </is>
      </c>
    </row>
    <row r="22" ht="15" customHeight="1" s="50">
      <c r="A22" s="74" t="inlineStr">
        <is>
          <t>S6-05</t>
        </is>
      </c>
      <c r="B22" s="75" t="inlineStr">
        <is>
          <t>副图6</t>
        </is>
      </c>
      <c r="C22" s="75" t="inlineStr">
        <is>
          <t>副图6.png</t>
        </is>
      </c>
      <c r="D22" s="75" t="inlineStr">
        <is>
          <t>对照行2</t>
        </is>
      </c>
      <c r="E22" s="76" t="inlineStr">
        <is>
          <t>Vegan Vegetable Capsule</t>
        </is>
      </c>
      <c r="F22" s="74" t="inlineStr">
        <is>
          <t>Plant-Based Vegan Capsule</t>
        </is>
      </c>
      <c r="G22" s="75" t="inlineStr">
        <is>
          <t>纯素植物胶囊</t>
        </is>
      </c>
      <c r="H22" s="74">
        <f>LEN(E22)</f>
        <v/>
      </c>
      <c r="I22" s="74">
        <f>IF(OR(K22="—",K22="",LEFT(K22,1)="（"),"",LEN(K22))</f>
        <v/>
      </c>
      <c r="J22" s="74">
        <f>IF(I22="","",H22-I22)</f>
        <v/>
      </c>
      <c r="K22" s="77" t="inlineStr">
        <is>
          <t>Vegan Vegetable Capsule</t>
        </is>
      </c>
      <c r="L22" s="74" t="inlineStr">
        <is>
          <t>F09</t>
        </is>
      </c>
      <c r="M22" s="75" t="inlineStr">
        <is>
          <t>原句可用。</t>
        </is>
      </c>
    </row>
    <row r="23" ht="15" customHeight="1" s="50">
      <c r="A23" s="74" t="inlineStr">
        <is>
          <t>S6-06</t>
        </is>
      </c>
      <c r="B23" s="75" t="inlineStr">
        <is>
          <t>副图6</t>
        </is>
      </c>
      <c r="C23" s="75" t="inlineStr">
        <is>
          <t>副图6.png</t>
        </is>
      </c>
      <c r="D23" s="75" t="inlineStr">
        <is>
          <t>对照行3</t>
        </is>
      </c>
      <c r="E23" s="76" t="inlineStr">
        <is>
          <t>No Artificial Additives</t>
        </is>
      </c>
      <c r="F23" s="74" t="inlineStr">
        <is>
          <t>No Artificial Colors or Additives</t>
        </is>
      </c>
      <c r="G23" s="75" t="inlineStr">
        <is>
          <t>无人工添加</t>
        </is>
      </c>
      <c r="H23" s="74">
        <f>LEN(E23)</f>
        <v/>
      </c>
      <c r="I23" s="74">
        <f>IF(OR(K23="—",K23="",LEFT(K23,1)="（"),"",LEN(K23))</f>
        <v/>
      </c>
      <c r="J23" s="74">
        <f>IF(I23="","",H23-I23)</f>
        <v/>
      </c>
      <c r="K23" s="77" t="inlineStr">
        <is>
          <t>No Artificial Additives</t>
        </is>
      </c>
      <c r="L23" s="74" t="inlineStr">
        <is>
          <t>F04</t>
        </is>
      </c>
      <c r="M23" s="75" t="inlineStr">
        <is>
          <t>对应listing要点“无人工添加”。</t>
        </is>
      </c>
    </row>
    <row r="24" ht="15" customHeight="1" s="50">
      <c r="A24" s="74" t="inlineStr">
        <is>
          <t>S6-07</t>
        </is>
      </c>
      <c r="B24" s="75" t="inlineStr">
        <is>
          <t>副图6</t>
        </is>
      </c>
      <c r="C24" s="75" t="inlineStr">
        <is>
          <t>副图6.png</t>
        </is>
      </c>
      <c r="D24" s="75" t="inlineStr">
        <is>
          <t>对照行4</t>
        </is>
      </c>
      <c r="E24" s="76" t="inlineStr">
        <is>
          <t>Made in a cGMP-Certified Facility</t>
        </is>
      </c>
      <c r="F24" s="74" t="inlineStr">
        <is>
          <t>cGMP-Certified Facility</t>
        </is>
      </c>
      <c r="G24" s="74" t="inlineStr">
        <is>
          <t>cGMP认证工厂生产</t>
        </is>
      </c>
      <c r="H24" s="74">
        <f>LEN(E24)</f>
        <v/>
      </c>
      <c r="I24" s="74">
        <f>IF(OR(K24="—",K24="",LEFT(K24,1)="（"),"",LEN(K24))</f>
        <v/>
      </c>
      <c r="J24" s="74">
        <f>IF(I24="","",H24-I24)</f>
        <v/>
      </c>
      <c r="K24" s="77" t="inlineStr">
        <is>
          <t>cGMP-Certified Facility</t>
        </is>
      </c>
      <c r="L24" s="74" t="inlineStr">
        <is>
          <t>F05</t>
        </is>
      </c>
      <c r="M24" s="75" t="inlineStr">
        <is>
          <t>原句可用，主句多了“Made in a”更完整；放不下用备选。</t>
        </is>
      </c>
    </row>
    <row r="25" ht="15" customHeight="1" s="50">
      <c r="A25" s="74" t="inlineStr">
        <is>
          <t>S6-08</t>
        </is>
      </c>
      <c r="B25" s="75" t="inlineStr">
        <is>
          <t>副图6</t>
        </is>
      </c>
      <c r="C25" s="75" t="inlineStr">
        <is>
          <t>副图6.png</t>
        </is>
      </c>
      <c r="D25" s="75" t="inlineStr">
        <is>
          <t>对照行5</t>
        </is>
      </c>
      <c r="E25" s="76" t="inlineStr">
        <is>
          <t>Natural Color from Annatto</t>
        </is>
      </c>
      <c r="F25" s="74" t="inlineStr">
        <is>
          <t>Colored Naturally with Annatto</t>
        </is>
      </c>
      <c r="G25" s="75" t="inlineStr">
        <is>
          <t>胭脂树天然着色</t>
        </is>
      </c>
      <c r="H25" s="74">
        <f>LEN(E25)</f>
        <v/>
      </c>
      <c r="I25" s="74">
        <f>IF(OR(K25="—",K25="",LEFT(K25,1)="（"),"",LEN(K25))</f>
        <v/>
      </c>
      <c r="J25" s="74">
        <f>IF(I25="","",H25-I25)</f>
        <v/>
      </c>
      <c r="K25" s="77" t="inlineStr">
        <is>
          <t>Natural Color from Annatto</t>
        </is>
      </c>
      <c r="L25" s="74" t="inlineStr">
        <is>
          <t>F04</t>
        </is>
      </c>
      <c r="M25" s="75" t="inlineStr">
        <is>
          <t>原句可用。</t>
        </is>
      </c>
    </row>
    <row r="26" ht="29.85" customHeight="1" s="50">
      <c r="A26" s="74" t="inlineStr">
        <is>
          <t>S6-09</t>
        </is>
      </c>
      <c r="B26" s="75" t="inlineStr">
        <is>
          <t>副图6</t>
        </is>
      </c>
      <c r="C26" s="75" t="inlineStr">
        <is>
          <t>副图6.png</t>
        </is>
      </c>
      <c r="D26" s="75" t="inlineStr">
        <is>
          <t>【可选新增】对照行6</t>
        </is>
      </c>
      <c r="E26" s="76" t="inlineStr">
        <is>
          <t>**700mg** Urolithin A per Serving, Clearly Labeled</t>
        </is>
      </c>
      <c r="F26" s="74" t="inlineStr">
        <is>
          <t>Single Ingredient, Dose on the Label</t>
        </is>
      </c>
      <c r="G26" s="75" t="inlineStr">
        <is>
          <t>每份700mg尿石素A，标签写明</t>
        </is>
      </c>
      <c r="H26" s="74">
        <f>LEN(E26)</f>
        <v/>
      </c>
      <c r="I26" s="74">
        <f>IF(OR(K26="—",K26="",LEFT(K26,1)="（"),"",LEN(K26))</f>
        <v/>
      </c>
      <c r="J26" s="74">
        <f>IF(I26="","",H26-I26)</f>
        <v/>
      </c>
      <c r="K26" s="78" t="inlineStr">
        <is>
          <t>（无）</t>
        </is>
      </c>
      <c r="L26" s="74" t="inlineStr">
        <is>
          <t>F01</t>
        </is>
      </c>
      <c r="M26" s="75" t="inlineStr">
        <is>
          <t>对照表里目前没有剂量透明这一项，而它是本品最强的差异点；版面允许可以加第6行，或替换行2。</t>
        </is>
      </c>
    </row>
    <row r="27" ht="15" customHeight="1" s="50">
      <c r="A27" s="79" t="inlineStr">
        <is>
          <t>S7-01</t>
        </is>
      </c>
      <c r="B27" s="80" t="inlineStr">
        <is>
          <t>副图7</t>
        </is>
      </c>
      <c r="C27" s="80" t="inlineStr">
        <is>
          <t>副图7.png</t>
        </is>
      </c>
      <c r="D27" s="80" t="inlineStr">
        <is>
          <t>左侧大数字（红色）＋单位</t>
        </is>
      </c>
      <c r="E27" s="81" t="inlineStr">
        <is>
          <t>**700** mg</t>
        </is>
      </c>
      <c r="F27" s="79" t="inlineStr">
        <is>
          <t>—</t>
        </is>
      </c>
      <c r="G27" s="79" t="inlineStr">
        <is>
          <t>700毫克</t>
        </is>
      </c>
      <c r="H27" s="79">
        <f>LEN(E27)</f>
        <v/>
      </c>
      <c r="I27" s="79">
        <f>IF(OR(K27="—",K27="",LEFT(K27,1)="（"),"",LEN(K27))</f>
        <v/>
      </c>
      <c r="J27" s="79">
        <f>IF(I27="","",H27-I27)</f>
        <v/>
      </c>
      <c r="K27" s="82" t="inlineStr">
        <is>
          <t>700 mg</t>
        </is>
      </c>
      <c r="L27" s="79" t="inlineStr">
        <is>
          <t>F01</t>
        </is>
      </c>
      <c r="M27" s="80" t="inlineStr">
        <is>
          <t>数字保持红色大字，单位小写黑字。</t>
        </is>
      </c>
    </row>
    <row r="28" ht="15" customHeight="1" s="50">
      <c r="A28" s="79" t="inlineStr">
        <is>
          <t>S7-02</t>
        </is>
      </c>
      <c r="B28" s="80" t="inlineStr">
        <is>
          <t>副图7</t>
        </is>
      </c>
      <c r="C28" s="80" t="inlineStr">
        <is>
          <t>副图7.png</t>
        </is>
      </c>
      <c r="D28" s="80" t="inlineStr">
        <is>
          <t>数字下方说明（1行）</t>
        </is>
      </c>
      <c r="E28" s="81" t="inlineStr">
        <is>
          <t>Urolithin A per 2-capsule serving</t>
        </is>
      </c>
      <c r="F28" s="79" t="inlineStr">
        <is>
          <t>of Urolithin A in every serving</t>
        </is>
      </c>
      <c r="G28" s="80" t="inlineStr">
        <is>
          <t>每份（2粒）尿石素A含量</t>
        </is>
      </c>
      <c r="H28" s="79">
        <f>LEN(E28)</f>
        <v/>
      </c>
      <c r="I28" s="79">
        <f>IF(OR(K28="—",K28="",LEFT(K28,1)="（"),"",LEN(K28))</f>
        <v/>
      </c>
      <c r="J28" s="79">
        <f>IF(I28="","",H28-I28)</f>
        <v/>
      </c>
      <c r="K28" s="82" t="inlineStr">
        <is>
          <t>Staff Struggle To Process.</t>
        </is>
      </c>
      <c r="L28" s="79" t="inlineStr">
        <is>
          <t>F01</t>
        </is>
      </c>
      <c r="M28" s="80" t="inlineStr">
        <is>
          <t>紧贴数字，给700mg对象和份量。</t>
        </is>
      </c>
    </row>
    <row r="29" ht="29.85" customHeight="1" s="50">
      <c r="A29" s="79" t="inlineStr">
        <is>
          <t>S7-03</t>
        </is>
      </c>
      <c r="B29" s="80" t="inlineStr">
        <is>
          <t>副图7</t>
        </is>
      </c>
      <c r="C29" s="80" t="inlineStr">
        <is>
          <t>副图7.png</t>
        </is>
      </c>
      <c r="D29" s="80" t="inlineStr">
        <is>
          <t>左下大标题（2行）</t>
        </is>
      </c>
      <c r="E29" s="81" t="inlineStr">
        <is>
          <t>One Ingredient.
One Clear Number.</t>
        </is>
      </c>
      <c r="F29" s="79" t="inlineStr">
        <is>
          <t>No Blends.
No Guesswork.</t>
        </is>
      </c>
      <c r="G29" s="80" t="inlineStr">
        <is>
          <t>一种成分，一个明确的数字。</t>
        </is>
      </c>
      <c r="H29" s="79">
        <f>LEN(E29)</f>
        <v/>
      </c>
      <c r="I29" s="79">
        <f>IF(OR(K29="—",K29="",LEFT(K29,1)="（"),"",LEN(K29))</f>
        <v/>
      </c>
      <c r="J29" s="79">
        <f>IF(I29="","",H29-I29)</f>
        <v/>
      </c>
      <c r="K29" s="82" t="inlineStr">
        <is>
          <t>Staff Struggle
To Process.</t>
        </is>
      </c>
      <c r="L29" s="79" t="inlineStr">
        <is>
          <t>F01, F10</t>
        </is>
      </c>
      <c r="M29" s="80" t="inlineStr">
        <is>
          <t>本图任务是解释“700是什么”。备选句“No Blends”指本品是单一成分配方，属实。</t>
        </is>
      </c>
    </row>
    <row r="30" ht="15" customHeight="1" s="50">
      <c r="A30" s="79" t="inlineStr">
        <is>
          <t>S7-04</t>
        </is>
      </c>
      <c r="B30" s="80" t="inlineStr">
        <is>
          <t>副图7</t>
        </is>
      </c>
      <c r="C30" s="80" t="inlineStr">
        <is>
          <t>副图7.png</t>
        </is>
      </c>
      <c r="D30" s="80" t="inlineStr">
        <is>
          <t>底部说明（1行）</t>
        </is>
      </c>
      <c r="E30" s="81" t="inlineStr">
        <is>
          <t>90 capsules · 45 servings · Vegan capsule</t>
        </is>
      </c>
      <c r="F30" s="79" t="inlineStr">
        <is>
          <t>90 capsules per bottle, a 45-day supply</t>
        </is>
      </c>
      <c r="G30" s="79" t="inlineStr">
        <is>
          <t>90粒·45份·纯素胶囊</t>
        </is>
      </c>
      <c r="H30" s="79">
        <f>LEN(E30)</f>
        <v/>
      </c>
      <c r="I30" s="79">
        <f>IF(OR(K30="—",K30="",LEFT(K30,1)="（"),"",LEN(K30))</f>
        <v/>
      </c>
      <c r="J30" s="79">
        <f>IF(I30="","",H30-I30)</f>
        <v/>
      </c>
      <c r="K30" s="82" t="inlineStr">
        <is>
          <t>Staff Struggle To Process.</t>
        </is>
      </c>
      <c r="L30" s="79" t="inlineStr">
        <is>
          <t>F02, F09</t>
        </is>
      </c>
      <c r="M30" s="80" t="inlineStr">
        <is>
          <t>石榴与胶囊静物：石榴是真实原料来源，可保留。</t>
        </is>
      </c>
    </row>
    <row r="31" ht="44" customHeight="1" s="50">
      <c r="A31" s="83" t="inlineStr">
        <is>
          <t>S8-01</t>
        </is>
      </c>
      <c r="B31" s="84" t="inlineStr">
        <is>
          <t>副图8·场景（原副图9）</t>
        </is>
      </c>
      <c r="C31" s="84" t="inlineStr">
        <is>
          <t>副图9.png</t>
        </is>
      </c>
      <c r="D31" s="84" t="inlineStr">
        <is>
          <t>右上标题（第二行斜体部分用 *…* 标出）</t>
        </is>
      </c>
      <c r="E31" s="85" t="inlineStr">
        <is>
          <t>Energy for the Day,
*Support for Your Cells.**</t>
        </is>
      </c>
      <c r="F31" s="83" t="inlineStr">
        <is>
          <t>Made for
*Every Kind of Day*.</t>
        </is>
      </c>
      <c r="G31" s="84" t="inlineStr">
        <is>
          <t>白天的能量，细胞的支持。* / 备选：为每一种日常而生。</t>
        </is>
      </c>
      <c r="H31" s="83">
        <f>LEN(E31)</f>
        <v/>
      </c>
      <c r="I31" s="83">
        <f>IF(OR(K31="—",K31="",LEFT(K31,1)="（"),"",LEN(K31))</f>
        <v/>
      </c>
      <c r="J31" s="83">
        <f>IF(I31="","",H31-I31)</f>
        <v/>
      </c>
      <c r="K31" s="86" t="inlineStr">
        <is>
          <t>Feel Good
from the *Inside Out*</t>
        </is>
      </c>
      <c r="L31" s="83" t="inlineStr">
        <is>
          <t>F07, F08, F16</t>
        </is>
      </c>
      <c r="M31" s="84" t="inlineStr">
        <is>
          <t>主句带星号（功效），备选句只写生活方式、无星号。用户2026-09-29确认顺位调整：本图排第8。</t>
        </is>
      </c>
    </row>
    <row r="32" ht="44" customHeight="1" s="50">
      <c r="A32" s="83" t="inlineStr">
        <is>
          <t>S8-02</t>
        </is>
      </c>
      <c r="B32" s="84" t="inlineStr">
        <is>
          <t>副图8·场景（原副图9）</t>
        </is>
      </c>
      <c r="C32" s="84" t="inlineStr">
        <is>
          <t>副图9.png</t>
        </is>
      </c>
      <c r="D32" s="84" t="inlineStr">
        <is>
          <t>左图功能词（深蓝粗斜体）</t>
        </is>
      </c>
      <c r="E32" s="85" t="inlineStr">
        <is>
          <t>**Energy
Metabolism***</t>
        </is>
      </c>
      <c r="F32" s="83" t="inlineStr">
        <is>
          <t>—</t>
        </is>
      </c>
      <c r="G32" s="84" t="inlineStr">
        <is>
          <t>能量代谢*</t>
        </is>
      </c>
      <c r="H32" s="83">
        <f>LEN(E32)</f>
        <v/>
      </c>
      <c r="I32" s="83">
        <f>IF(OR(K32="—",K32="",LEFT(K32,1)="（"),"",LEN(K32))</f>
        <v/>
      </c>
      <c r="J32" s="83">
        <f>IF(I32="","",H32-I32)</f>
        <v/>
      </c>
      <c r="K32" s="86" t="inlineStr">
        <is>
          <t>Energy
Metabolism*</t>
        </is>
      </c>
      <c r="L32" s="83" t="inlineStr">
        <is>
          <t>F08</t>
        </is>
      </c>
      <c r="M32" s="84" t="inlineStr">
        <is>
          <t>原文可用。</t>
        </is>
      </c>
    </row>
    <row r="33" ht="44" customHeight="1" s="50">
      <c r="A33" s="83" t="inlineStr">
        <is>
          <t>S8-03</t>
        </is>
      </c>
      <c r="B33" s="84" t="inlineStr">
        <is>
          <t>副图8·场景（原副图9）</t>
        </is>
      </c>
      <c r="C33" s="84" t="inlineStr">
        <is>
          <t>副图9.png</t>
        </is>
      </c>
      <c r="D33" s="84" t="inlineStr">
        <is>
          <t>右图功能词（白色粗斜体）</t>
        </is>
      </c>
      <c r="E33" s="85" t="inlineStr">
        <is>
          <t>**Cellular
Function***</t>
        </is>
      </c>
      <c r="F33" s="83" t="inlineStr">
        <is>
          <t>**Cellular
Health***</t>
        </is>
      </c>
      <c r="G33" s="84" t="inlineStr">
        <is>
          <t>细胞功能* / 备选：细胞健康*</t>
        </is>
      </c>
      <c r="H33" s="83">
        <f>LEN(E33)</f>
        <v/>
      </c>
      <c r="I33" s="83">
        <f>IF(OR(K33="—",K33="",LEFT(K33,1)="（"),"",LEN(K33))</f>
        <v/>
      </c>
      <c r="J33" s="83">
        <f>IF(I33="","",H33-I33)</f>
        <v/>
      </c>
      <c r="K33" s="86" t="inlineStr">
        <is>
          <t>Cellular
Function*</t>
        </is>
      </c>
      <c r="L33" s="83" t="inlineStr">
        <is>
          <t>F16</t>
        </is>
      </c>
      <c r="M33" s="84" t="inlineStr">
        <is>
          <t>用户2026-09-29确认此方向（瓶身标签印有Cellular Health / Cell Function）。</t>
        </is>
      </c>
    </row>
    <row r="34" ht="44" customHeight="1" s="50">
      <c r="A34" s="83" t="inlineStr">
        <is>
          <t>S8-04</t>
        </is>
      </c>
      <c r="B34" s="84" t="inlineStr">
        <is>
          <t>副图8·场景（原副图9）</t>
        </is>
      </c>
      <c r="C34" s="84" t="inlineStr">
        <is>
          <t>副图9.png</t>
        </is>
      </c>
      <c r="D34" s="84" t="inlineStr">
        <is>
          <t>左下小标题（2行）</t>
        </is>
      </c>
      <c r="E34" s="85" t="inlineStr">
        <is>
          <t>One daily serving.
For men and women.</t>
        </is>
      </c>
      <c r="F34" s="83" t="inlineStr">
        <is>
          <t>**700mg** Urolithin A.
One serving a day.</t>
        </is>
      </c>
      <c r="G34" s="84" t="inlineStr">
        <is>
          <t>每日一份，男女适用。</t>
        </is>
      </c>
      <c r="H34" s="83">
        <f>LEN(E34)</f>
        <v/>
      </c>
      <c r="I34" s="83">
        <f>IF(OR(K34="—",K34="",LEFT(K34,1)="（"),"",LEN(K34))</f>
        <v/>
      </c>
      <c r="J34" s="83">
        <f>IF(I34="","",H34-I34)</f>
        <v/>
      </c>
      <c r="K34" s="86" t="inlineStr">
        <is>
          <t>Feel Good
from the *Inside Out*</t>
        </is>
      </c>
      <c r="L34" s="83" t="inlineStr">
        <is>
          <t>F06, F07</t>
        </is>
      </c>
      <c r="M34" s="84" t="inlineStr">
        <is>
          <t>【建议】原稿同一句出现两次，这里改成规格句，不再重复标题。</t>
        </is>
      </c>
    </row>
    <row r="35" ht="46.25" customHeight="1" s="50">
      <c r="A35" s="83" t="inlineStr">
        <is>
          <t>S8-05</t>
        </is>
      </c>
      <c r="B35" s="84" t="inlineStr">
        <is>
          <t>副图8·场景（原副图9）</t>
        </is>
      </c>
      <c r="C35" s="84" t="inlineStr">
        <is>
          <t>副图9.png</t>
        </is>
      </c>
      <c r="D35" s="84" t="inlineStr">
        <is>
          <t>【新增】底边FDA声明小字</t>
        </is>
      </c>
      <c r="E35" s="85" t="inlineStr">
        <is>
          <t>*These statements have not been evaluated by the Food and Drug Administration. This product is not intended to diagnose, treat, cure, or prevent any disease.</t>
        </is>
      </c>
      <c r="F35" s="83" t="inlineStr">
        <is>
          <t>—</t>
        </is>
      </c>
      <c r="G35" s="83" t="inlineStr">
        <is>
          <t>FDA免责声明。</t>
        </is>
      </c>
      <c r="H35" s="83">
        <f>LEN(E35)</f>
        <v/>
      </c>
      <c r="I35" s="83">
        <f>IF(OR(K35="—",K35="",LEFT(K35,1)="（"),"",LEN(K35))</f>
        <v/>
      </c>
      <c r="J35" s="83">
        <f>IF(I35="","",H35-I35)</f>
        <v/>
      </c>
      <c r="K35" s="87" t="inlineStr">
        <is>
          <t>（无）</t>
        </is>
      </c>
      <c r="L35" s="83" t="inlineStr">
        <is>
          <t>F08, F16</t>
        </is>
      </c>
      <c r="M35" s="84" t="inlineStr">
        <is>
          <t>本图有星号，必须放。可放左下白色区域底边。</t>
        </is>
      </c>
    </row>
    <row r="36" ht="44" customHeight="1" s="50">
      <c r="A36" s="88" t="inlineStr">
        <is>
          <t>S9-01</t>
        </is>
      </c>
      <c r="B36" s="89" t="inlineStr">
        <is>
          <t>副图9·标签（原副图8）</t>
        </is>
      </c>
      <c r="C36" s="89" t="inlineStr">
        <is>
          <t>副图8.png</t>
        </is>
      </c>
      <c r="D36" s="88" t="inlineStr">
        <is>
          <t>Supplement Facts｜份数与份量</t>
        </is>
      </c>
      <c r="E36" s="90" t="inlineStr">
        <is>
          <t>45 Servings Per Container
Serving Size: 2 Capsules
90 Capsules</t>
        </is>
      </c>
      <c r="F36" s="88" t="inlineStr">
        <is>
          <t>—</t>
        </is>
      </c>
      <c r="G36" s="89" t="inlineStr">
        <is>
          <t>每瓶45份；每份2粒胶囊；90粒。</t>
        </is>
      </c>
      <c r="H36" s="88">
        <f>LEN(E36)</f>
        <v/>
      </c>
      <c r="I36" s="88">
        <f>IF(OR(K36="—",K36="",LEFT(K36,1)="（"),"",LEN(K36))</f>
        <v/>
      </c>
      <c r="J36" s="88">
        <f>IF(I36="","",H36-I36)</f>
        <v/>
      </c>
      <c r="K36" s="91" t="inlineStr">
        <is>
          <t>45 Servings Per Container
Serving size: 2 Softgels
90 Softgel</t>
        </is>
      </c>
      <c r="L36" s="88" t="inlineStr">
        <is>
          <t>F01, F02</t>
        </is>
      </c>
      <c r="M36" s="89" t="inlineStr">
        <is>
          <t>【必改】Softgel三处全部改为Capsules（listing为90 Capsules）。用户确认顺位调整：标签图排第9，供查证。</t>
        </is>
      </c>
    </row>
    <row r="37" ht="44" customHeight="1" s="50">
      <c r="A37" s="88" t="inlineStr">
        <is>
          <t>S9-02</t>
        </is>
      </c>
      <c r="B37" s="89" t="inlineStr">
        <is>
          <t>副图9·标签（原副图8）</t>
        </is>
      </c>
      <c r="C37" s="89" t="inlineStr">
        <is>
          <t>副图8.png</t>
        </is>
      </c>
      <c r="D37" s="88" t="inlineStr">
        <is>
          <t>Supplement Facts｜主成分行</t>
        </is>
      </c>
      <c r="E37" s="90" t="inlineStr">
        <is>
          <t>Urolithin A
(from Punica granatum Peel Extract)    700 mg    †</t>
        </is>
      </c>
      <c r="F37" s="88" t="inlineStr">
        <is>
          <t>—</t>
        </is>
      </c>
      <c r="G37" s="89" t="inlineStr">
        <is>
          <t>尿石素A（来自石榴皮提取物）700 mg †</t>
        </is>
      </c>
      <c r="H37" s="88">
        <f>LEN(E37)</f>
        <v/>
      </c>
      <c r="I37" s="88">
        <f>IF(OR(K37="—",K37="",LEFT(K37,1)="（"),"",LEN(K37))</f>
        <v/>
      </c>
      <c r="J37" s="88">
        <f>IF(I37="","",H37-I37)</f>
        <v/>
      </c>
      <c r="K37" s="91" t="inlineStr">
        <is>
          <t>Urolithin A
(from Punica Granatum Peel Extract)    1,000 mg    †</t>
        </is>
      </c>
      <c r="L37" s="88" t="inlineStr">
        <is>
          <t>F01, F10</t>
        </is>
      </c>
      <c r="M37" s="89" t="inlineStr">
        <is>
          <t>【必改】1,000 mg改700 mg；学名种加词小写granatum。</t>
        </is>
      </c>
    </row>
    <row r="38" ht="44" customHeight="1" s="50">
      <c r="A38" s="88" t="inlineStr">
        <is>
          <t>S9-03</t>
        </is>
      </c>
      <c r="B38" s="89" t="inlineStr">
        <is>
          <t>副图9·标签（原副图8）</t>
        </is>
      </c>
      <c r="C38" s="89" t="inlineStr">
        <is>
          <t>副图8.png</t>
        </is>
      </c>
      <c r="D38" s="88" t="inlineStr">
        <is>
          <t>Supplement Facts｜Other Ingredients</t>
        </is>
      </c>
      <c r="E38" s="90" t="inlineStr">
        <is>
          <t>Other Ingredients: [Capsule shell — copy exactly from the physical label], MCT Oil, Sunflower Lecithin, Annatto (color).</t>
        </is>
      </c>
      <c r="F38" s="88" t="inlineStr">
        <is>
          <t>—</t>
        </is>
      </c>
      <c r="G38" s="89" t="inlineStr">
        <is>
          <t>其他成分：[胶囊壳按实物标签照抄]、MCT油、葵花卵磷脂、胭脂树（着色）。</t>
        </is>
      </c>
      <c r="H38" s="88">
        <f>LEN(E38)</f>
        <v/>
      </c>
      <c r="I38" s="88">
        <f>IF(OR(K38="—",K38="",LEFT(K38,1)="（"),"",LEN(K38))</f>
        <v/>
      </c>
      <c r="J38" s="88">
        <f>IF(I38="","",H38-I38)</f>
        <v/>
      </c>
      <c r="K38" s="91" t="inlineStr">
        <is>
          <t>Other Ingredients: Other Ingredients: Vegan Softgel (Glycerin, Purified Water) , MCT Oil, Sunflower Lecithin.</t>
        </is>
      </c>
      <c r="L38" s="88" t="inlineStr">
        <is>
          <t>F03, F04</t>
        </is>
      </c>
      <c r="M38" s="89" t="inlineStr">
        <is>
          <t>【必改】① “Other Ingredients:”写了两遍；② Vegan Softgel是1000mg软胶囊款的壳，本品是胶囊；③ listing提到胭脂树着色，标签里要有。整格必须与实物标签逐字一致。</t>
        </is>
      </c>
    </row>
    <row r="39" ht="44" customHeight="1" s="50">
      <c r="A39" s="88" t="inlineStr">
        <is>
          <t>S9-04</t>
        </is>
      </c>
      <c r="B39" s="89" t="inlineStr">
        <is>
          <t>副图9·标签（原副图8）</t>
        </is>
      </c>
      <c r="C39" s="89" t="inlineStr">
        <is>
          <t>副图8.png</t>
        </is>
      </c>
      <c r="D39" s="89" t="inlineStr">
        <is>
          <t>底部徽章（5个）</t>
        </is>
      </c>
      <c r="E39" s="90" t="inlineStr">
        <is>
          <t>Formulated in the United States with imported ingredients. / American Owned Quality Control / Non-GMO / Gluten-Free / cGMP Certified Facility</t>
        </is>
      </c>
      <c r="F39" s="88" t="inlineStr">
        <is>
          <t>—</t>
        </is>
      </c>
      <c r="G39" s="89" t="inlineStr">
        <is>
          <t>美国配方（进口原料）/ 美资品控 / 非转基因 / 无麸质 / cGMP认证工厂</t>
        </is>
      </c>
      <c r="H39" s="88">
        <f>LEN(E39)</f>
        <v/>
      </c>
      <c r="I39" s="88">
        <f>IF(OR(K39="—",K39="",LEFT(K39,1)="（"),"",LEN(K39))</f>
        <v/>
      </c>
      <c r="J39" s="88">
        <f>IF(I39="","",H39-I39)</f>
        <v/>
      </c>
      <c r="K39" s="91" t="inlineStr">
        <is>
          <t>Formulated in the United States with imported ingredients. / American Owned Quality Control / Non-GMO / Gluten-Free / GMP Certified Facility</t>
        </is>
      </c>
      <c r="L39" s="88" t="inlineStr">
        <is>
          <t>F05, F11</t>
        </is>
      </c>
      <c r="M39" s="88" t="inlineStr">
        <is>
          <t>5个徽章都有依据（F11用户确认，F05 listing）。GMP可写成cGMP与listing一致。</t>
        </is>
      </c>
    </row>
    <row r="40" ht="44" customHeight="1" s="50">
      <c r="A40" s="88" t="inlineStr">
        <is>
          <t>S9-05</t>
        </is>
      </c>
      <c r="B40" s="89" t="inlineStr">
        <is>
          <t>副图9·标签（原副图8）</t>
        </is>
      </c>
      <c r="C40" s="89" t="inlineStr">
        <is>
          <t>副图8.png</t>
        </is>
      </c>
      <c r="D40" s="89" t="inlineStr">
        <is>
          <t>【可选新增】第6个徽章</t>
        </is>
      </c>
      <c r="E40" s="90" t="inlineStr">
        <is>
          <t>Third-Party Tested</t>
        </is>
      </c>
      <c r="F40" s="88" t="inlineStr">
        <is>
          <t>—</t>
        </is>
      </c>
      <c r="G40" s="89" t="inlineStr">
        <is>
          <t>第三方检测</t>
        </is>
      </c>
      <c r="H40" s="88">
        <f>LEN(E40)</f>
        <v/>
      </c>
      <c r="I40" s="88">
        <f>IF(OR(K40="—",K40="",LEFT(K40,1)="（"),"",LEN(K40))</f>
        <v/>
      </c>
      <c r="J40" s="88">
        <f>IF(I40="","",H40-I40)</f>
        <v/>
      </c>
      <c r="K40" s="92" t="inlineStr">
        <is>
          <t>（无）</t>
        </is>
      </c>
      <c r="L40" s="88" t="inlineStr">
        <is>
          <t>F15</t>
        </is>
      </c>
      <c r="M40" s="89" t="inlineStr">
        <is>
          <t>用户确认有检测报告；请保存报告以备平台审核。</t>
        </is>
      </c>
    </row>
  </sheetData>
  <autoFilter ref="A1:M4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9" min="1" max="1"/>
    <col width="8" customWidth="1" style="49" min="2" max="2"/>
    <col width="24" customWidth="1" style="49" min="3" max="3"/>
    <col width="50" customWidth="1" style="49" min="4" max="5"/>
    <col width="10" customWidth="1" style="49" min="6" max="6"/>
  </cols>
  <sheetData>
    <row r="1" ht="15" customHeight="1" s="50">
      <c r="A1" s="93" t="inlineStr">
        <is>
          <t>#</t>
        </is>
      </c>
      <c r="B1" s="54" t="inlineStr">
        <is>
          <t>优先级</t>
        </is>
      </c>
      <c r="C1" s="54" t="inlineStr">
        <is>
          <t>位置</t>
        </is>
      </c>
      <c r="D1" s="54" t="inlineStr">
        <is>
          <t>问题</t>
        </is>
      </c>
      <c r="E1" s="54" t="inlineStr">
        <is>
          <t>建议处理</t>
        </is>
      </c>
      <c r="F1" s="54" t="inlineStr">
        <is>
          <t>状态</t>
        </is>
      </c>
    </row>
    <row r="2" ht="26.85" customHeight="1" s="50">
      <c r="A2" s="94" t="n">
        <v>1</v>
      </c>
      <c r="B2" s="95" t="inlineStr">
        <is>
          <t>必改</t>
        </is>
      </c>
      <c r="C2" s="96" t="inlineStr">
        <is>
          <t>副图2、副图6 Logo</t>
        </is>
      </c>
      <c r="D2" s="96" t="inlineStr">
        <is>
          <t>写的是ZABORATORY™ series，listing品牌是ZAB，瓶身是Zab</t>
        </is>
      </c>
      <c r="E2" s="96" t="inlineStr">
        <is>
          <t>统一换成ZAB/Zab Logo</t>
        </is>
      </c>
      <c r="F2" s="96" t="inlineStr">
        <is>
          <t>待处理</t>
        </is>
      </c>
    </row>
    <row r="3" ht="15" customHeight="1" s="50">
      <c r="A3" s="94" t="n">
        <v>2</v>
      </c>
      <c r="B3" s="95" t="inlineStr">
        <is>
          <t>必改</t>
        </is>
      </c>
      <c r="C3" s="96" t="inlineStr">
        <is>
          <t>副图2 副文</t>
        </is>
      </c>
      <c r="D3" s="94" t="inlineStr">
        <is>
          <t>1,000mg是1000mg软胶囊款的数据</t>
        </is>
      </c>
      <c r="E3" s="96" t="inlineStr">
        <is>
          <t>已改为700mg per 2-capsule serving（S2-02）</t>
        </is>
      </c>
      <c r="F3" s="96" t="inlineStr">
        <is>
          <t>待处理</t>
        </is>
      </c>
    </row>
    <row r="4" ht="15" customHeight="1" s="50">
      <c r="A4" s="94" t="n">
        <v>3</v>
      </c>
      <c r="B4" s="95" t="inlineStr">
        <is>
          <t>必改</t>
        </is>
      </c>
      <c r="C4" s="96" t="inlineStr">
        <is>
          <t>副图3 瓶身</t>
        </is>
      </c>
      <c r="D4" s="96" t="inlineStr">
        <is>
          <t>瓶身品牌写成Zek，标签文字模糊不可读</t>
        </is>
      </c>
      <c r="E4" s="96" t="inlineStr">
        <is>
          <t>换成本ASIN（700mg，90 Capsules）真实瓶身图</t>
        </is>
      </c>
      <c r="F4" s="96" t="inlineStr">
        <is>
          <t>待处理</t>
        </is>
      </c>
    </row>
    <row r="5" ht="29.85" customHeight="1" s="50">
      <c r="A5" s="94" t="n">
        <v>4</v>
      </c>
      <c r="B5" s="95" t="inlineStr">
        <is>
          <t>必改</t>
        </is>
      </c>
      <c r="C5" s="96" t="inlineStr">
        <is>
          <t>副图4 三处文字</t>
        </is>
      </c>
      <c r="D5" s="96" t="inlineStr">
        <is>
          <t>含中文占位“点线成分”</t>
        </is>
      </c>
      <c r="E5" s="96" t="inlineStr">
        <is>
          <t>按S4-02～S4-04替换；引线指向：空皿=辅料，石榴=来源，粉末=700mg</t>
        </is>
      </c>
      <c r="F5" s="96" t="inlineStr">
        <is>
          <t>待处理</t>
        </is>
      </c>
    </row>
    <row r="6" ht="29.85" customHeight="1" s="50">
      <c r="A6" s="94" t="n">
        <v>5</v>
      </c>
      <c r="B6" s="95" t="inlineStr">
        <is>
          <t>必改</t>
        </is>
      </c>
      <c r="C6" s="96" t="inlineStr">
        <is>
          <t>原副图8 Supplement Facts</t>
        </is>
      </c>
      <c r="D6" s="94" t="inlineStr">
        <is>
          <t>Softgel×3、1,000 mg、Other Ingredients重复、缺Annatto、学名大写</t>
        </is>
      </c>
      <c r="E6" s="96" t="inlineStr">
        <is>
          <t>按S9-01～S9-03逐字重做，最终以实物标签为准</t>
        </is>
      </c>
      <c r="F6" s="96" t="inlineStr">
        <is>
          <t>待处理</t>
        </is>
      </c>
    </row>
    <row r="7" ht="15" customHeight="1" s="50">
      <c r="A7" s="94" t="n">
        <v>6</v>
      </c>
      <c r="B7" s="95" t="inlineStr">
        <is>
          <t>必改</t>
        </is>
      </c>
      <c r="C7" s="96" t="inlineStr">
        <is>
          <t>副图6 对照行1</t>
        </is>
      </c>
      <c r="D7" s="94" t="inlineStr">
        <is>
          <t>Third-Party Certified暗示认证授牌</t>
        </is>
      </c>
      <c r="E7" s="96" t="inlineStr">
        <is>
          <t>改为Third-Party Tested（S6-04），保存检测报告备查</t>
        </is>
      </c>
      <c r="F7" s="96" t="inlineStr">
        <is>
          <t>待处理</t>
        </is>
      </c>
    </row>
    <row r="8" ht="29.85" customHeight="1" s="50">
      <c r="A8" s="94" t="n">
        <v>7</v>
      </c>
      <c r="B8" s="95" t="inlineStr">
        <is>
          <t>必改</t>
        </is>
      </c>
      <c r="C8" s="96" t="inlineStr">
        <is>
          <t>副图3、副图8(场景)、副图2(若用主句)</t>
        </is>
      </c>
      <c r="D8" s="96" t="inlineStr">
        <is>
          <t>有带*的功能句但没有FDA声明</t>
        </is>
      </c>
      <c r="E8" s="96" t="inlineStr">
        <is>
          <t>按S3-05、S8-05、S2-04新增底边小字，手机端仍可读</t>
        </is>
      </c>
      <c r="F8" s="96" t="inlineStr">
        <is>
          <t>待处理</t>
        </is>
      </c>
    </row>
    <row r="9" ht="29.85" customHeight="1" s="50">
      <c r="A9" s="94" t="n">
        <v>8</v>
      </c>
      <c r="B9" s="97" t="inlineStr">
        <is>
          <t>建议</t>
        </is>
      </c>
      <c r="C9" s="96" t="inlineStr">
        <is>
          <t>副图6 对照列</t>
        </is>
      </c>
      <c r="D9" s="94" t="inlineStr">
        <is>
          <t>“Other Urolithin A”＋红叉泛指竞品</t>
        </is>
      </c>
      <c r="E9" s="96" t="inlineStr">
        <is>
          <t>表头改为Without These Standards（S6-03）；红叉换灰色短横；本列文字保持灰色细字</t>
        </is>
      </c>
      <c r="F9" s="96" t="inlineStr">
        <is>
          <t>待处理</t>
        </is>
      </c>
    </row>
    <row r="10" ht="15" customHeight="1" s="50">
      <c r="A10" s="94" t="n">
        <v>9</v>
      </c>
      <c r="B10" s="97" t="inlineStr">
        <is>
          <t>建议</t>
        </is>
      </c>
      <c r="C10" s="96" t="inlineStr">
        <is>
          <t>副图5 顶部标题</t>
        </is>
      </c>
      <c r="D10" s="96" t="inlineStr">
        <is>
          <t>第一行超出画面右边被裁切；白字压在浅色皮肤上</t>
        </is>
      </c>
      <c r="E10" s="96" t="inlineStr">
        <is>
          <t>换短标题（S5-01）后左移；必要时加淡色底或阴影</t>
        </is>
      </c>
      <c r="F10" s="96" t="inlineStr">
        <is>
          <t>待处理</t>
        </is>
      </c>
    </row>
    <row r="11" ht="15" customHeight="1" s="50">
      <c r="A11" s="94" t="n">
        <v>10</v>
      </c>
      <c r="B11" s="97" t="inlineStr">
        <is>
          <t>建议</t>
        </is>
      </c>
      <c r="C11" s="96" t="inlineStr">
        <is>
          <t>原副图9 场景图</t>
        </is>
      </c>
      <c r="D11" s="94" t="inlineStr">
        <is>
          <t>“Feel Good from the Inside Out”出现两次</t>
        </is>
      </c>
      <c r="E11" s="96" t="inlineStr">
        <is>
          <t>右上改功效句，左下改规格句（S8-01、S8-04）</t>
        </is>
      </c>
      <c r="F11" s="96" t="inlineStr">
        <is>
          <t>待处理</t>
        </is>
      </c>
    </row>
    <row r="12" ht="29.85" customHeight="1" s="50">
      <c r="A12" s="94" t="n">
        <v>11</v>
      </c>
      <c r="B12" s="97" t="inlineStr">
        <is>
          <t>建议</t>
        </is>
      </c>
      <c r="C12" s="96" t="inlineStr">
        <is>
          <t>图片顺序</t>
        </is>
      </c>
      <c r="D12" s="96" t="inlineStr">
        <is>
          <t>桌面端默认只显示前7张缩略图</t>
        </is>
      </c>
      <c r="E12" s="96" t="inlineStr">
        <is>
          <t>已按用户确认：场景图排第8、标签图排第9；副图2～7顺序不变</t>
        </is>
      </c>
      <c r="F12" s="96" t="inlineStr">
        <is>
          <t>待处理</t>
        </is>
      </c>
    </row>
    <row r="13" ht="15" customHeight="1" s="50">
      <c r="A13" s="94" t="n">
        <v>12</v>
      </c>
      <c r="B13" s="97" t="inlineStr">
        <is>
          <t>建议</t>
        </is>
      </c>
      <c r="C13" s="96" t="inlineStr">
        <is>
          <t>副图6</t>
        </is>
      </c>
      <c r="D13" s="96" t="inlineStr">
        <is>
          <t>对照表没有“剂量透明”这一本品最强差异点</t>
        </is>
      </c>
      <c r="E13" s="96" t="inlineStr">
        <is>
          <t>版面允许时加第6行（S6-09）或替换行2</t>
        </is>
      </c>
      <c r="F13" s="96" t="inlineStr">
        <is>
          <t>待处理</t>
        </is>
      </c>
    </row>
    <row r="14" ht="15" customHeight="1" s="50">
      <c r="A14" s="94" t="n">
        <v>13</v>
      </c>
      <c r="B14" s="98" t="inlineStr">
        <is>
          <t>确认</t>
        </is>
      </c>
      <c r="C14" s="96" t="inlineStr">
        <is>
          <t>副图2 瓶身渲染</t>
        </is>
      </c>
      <c r="D14" s="96" t="inlineStr">
        <is>
          <t>瓶身是Capsules款，但看不清是否700mg版本</t>
        </is>
      </c>
      <c r="E14" s="96" t="inlineStr">
        <is>
          <t>请核对渲染图对应本ASIN</t>
        </is>
      </c>
      <c r="F14" s="96" t="inlineStr">
        <is>
          <t>待处理</t>
        </is>
      </c>
    </row>
    <row r="15" ht="29.85" customHeight="1" s="50">
      <c r="A15" s="94" t="n">
        <v>14</v>
      </c>
      <c r="B15" s="98" t="inlineStr">
        <is>
          <t>确认</t>
        </is>
      </c>
      <c r="C15" s="96" t="inlineStr">
        <is>
          <t>主图</t>
        </is>
      </c>
      <c r="D15" s="96" t="inlineStr">
        <is>
          <t>文件夹里没有主图文件</t>
        </is>
      </c>
      <c r="E15" s="96" t="inlineStr">
        <is>
          <t>用户确认主图为纯白底瓶身，不加文字；如后续有主图构图再补</t>
        </is>
      </c>
      <c r="F15" s="96" t="inlineStr">
        <is>
          <t>待处理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9" min="1" max="1"/>
    <col width="56" customWidth="1" style="49" min="2" max="2"/>
    <col width="50" customWidth="1" style="49" min="3" max="3"/>
    <col width="48" customWidth="1" style="49" min="4" max="4"/>
  </cols>
  <sheetData>
    <row r="1" ht="15" customHeight="1" s="50">
      <c r="A1" s="54" t="inlineStr">
        <is>
          <t>编号</t>
        </is>
      </c>
      <c r="B1" s="54" t="inlineStr">
        <is>
          <t>事实</t>
        </is>
      </c>
      <c r="C1" s="54" t="inlineStr">
        <is>
          <t>出处</t>
        </is>
      </c>
      <c r="D1" s="54" t="inlineStr">
        <is>
          <t>备注</t>
        </is>
      </c>
    </row>
    <row r="2" ht="15" customHeight="1" s="50">
      <c r="A2" s="94" t="inlineStr">
        <is>
          <t>F01</t>
        </is>
      </c>
      <c r="B2" s="96" t="inlineStr">
        <is>
          <t>每份（2粒）含Urolithin A 700mg</t>
        </is>
      </c>
      <c r="C2" s="94" t="inlineStr">
        <is>
          <t>Listing标题＋要点1</t>
        </is>
      </c>
      <c r="D2" s="96" t="inlineStr">
        <is>
          <t>所有“700mg”都要配上per serving或per 2 capsules</t>
        </is>
      </c>
    </row>
    <row r="3" ht="15" customHeight="1" s="50">
      <c r="A3" s="94" t="inlineStr">
        <is>
          <t>F02</t>
        </is>
      </c>
      <c r="B3" s="94" t="inlineStr">
        <is>
          <t>90粒/瓶，每瓶45份，可用45天</t>
        </is>
      </c>
      <c r="C3" s="94" t="inlineStr">
        <is>
          <t>Listing标题＋要点1</t>
        </is>
      </c>
      <c r="D3" s="94" t="n"/>
    </row>
    <row r="4" ht="15" customHeight="1" s="50">
      <c r="A4" s="94" t="inlineStr">
        <is>
          <t>F03</t>
        </is>
      </c>
      <c r="B4" s="96" t="inlineStr">
        <is>
          <t>配方含MCT油和葵花卵磷脂</t>
        </is>
      </c>
      <c r="C4" s="94" t="inlineStr">
        <is>
          <t>Listing要点2；标签Sunflower Lecithin</t>
        </is>
      </c>
      <c r="D4" s="96" t="inlineStr">
        <is>
          <t>不写这两种成分有促进吸收的作用</t>
        </is>
      </c>
    </row>
    <row r="5" ht="15" customHeight="1" s="50">
      <c r="A5" s="94" t="inlineStr">
        <is>
          <t>F04</t>
        </is>
      </c>
      <c r="B5" s="96" t="inlineStr">
        <is>
          <t>含胭脂树（Annatto）天然着色，无人工添加</t>
        </is>
      </c>
      <c r="C5" s="94" t="inlineStr">
        <is>
          <t>Listing要点2、要点5</t>
        </is>
      </c>
      <c r="D5" s="96" t="inlineStr">
        <is>
          <t>标签Other Ingredients里要列出</t>
        </is>
      </c>
    </row>
    <row r="6" ht="15" customHeight="1" s="50">
      <c r="A6" s="94" t="inlineStr">
        <is>
          <t>F05</t>
        </is>
      </c>
      <c r="B6" s="94" t="inlineStr">
        <is>
          <t>cGMP认证工厂生产</t>
        </is>
      </c>
      <c r="C6" s="94" t="inlineStr">
        <is>
          <t>Listing要点3</t>
        </is>
      </c>
      <c r="D6" s="94" t="n"/>
    </row>
    <row r="7" ht="15" customHeight="1" s="50">
      <c r="A7" s="94" t="inlineStr">
        <is>
          <t>F06</t>
        </is>
      </c>
      <c r="B7" s="96" t="inlineStr">
        <is>
          <t>成人每日2粒，用水送服</t>
        </is>
      </c>
      <c r="C7" s="94" t="inlineStr">
        <is>
          <t>Listing要点4</t>
        </is>
      </c>
      <c r="D7" s="94" t="inlineStr">
        <is>
          <t>listing没有规定服用时段</t>
        </is>
      </c>
    </row>
    <row r="8" ht="15" customHeight="1" s="50">
      <c r="A8" s="94" t="inlineStr">
        <is>
          <t>F07</t>
        </is>
      </c>
      <c r="B8" s="96" t="inlineStr">
        <is>
          <t>男女适用，适合各种生活方式</t>
        </is>
      </c>
      <c r="C8" s="94" t="inlineStr">
        <is>
          <t>Listing标题、要点4、要点5</t>
        </is>
      </c>
      <c r="D8" s="94" t="n"/>
    </row>
    <row r="9" ht="15" customHeight="1" s="50">
      <c r="A9" s="94" t="inlineStr">
        <is>
          <t>F08</t>
        </is>
      </c>
      <c r="B9" s="96" t="inlineStr">
        <is>
          <t>线粒体补充剂，支持能量代谢</t>
        </is>
      </c>
      <c r="C9" s="94" t="inlineStr">
        <is>
          <t>Listing标题</t>
        </is>
      </c>
      <c r="D9" s="96" t="inlineStr">
        <is>
          <t>结构/功能宣称，加*并配FDA免责声明</t>
        </is>
      </c>
    </row>
    <row r="10" ht="15" customHeight="1" s="50">
      <c r="A10" s="94" t="inlineStr">
        <is>
          <t>F09</t>
        </is>
      </c>
      <c r="B10" s="96" t="inlineStr">
        <is>
          <t>纯素（Vegan），植物胶囊</t>
        </is>
      </c>
      <c r="C10" s="94" t="inlineStr">
        <is>
          <t>Listing标题；要点5</t>
        </is>
      </c>
      <c r="D10" s="94" t="n"/>
    </row>
    <row r="11" ht="29.85" customHeight="1" s="50">
      <c r="A11" s="94" t="inlineStr">
        <is>
          <t>F10</t>
        </is>
      </c>
      <c r="B11" s="94" t="inlineStr">
        <is>
          <t>Urolithin A来自石榴皮提取物（Punica granatum Peel Extract）</t>
        </is>
      </c>
      <c r="C11" s="96" t="inlineStr">
        <is>
          <t>设计稿Supplement Facts；瓶身标签</t>
        </is>
      </c>
      <c r="D11" s="94" t="inlineStr">
        <is>
          <t>listing要点没写，以实物标签为准；因此副图里的石榴可作为真实来源指向</t>
        </is>
      </c>
    </row>
    <row r="12" ht="26.85" customHeight="1" s="50">
      <c r="A12" s="94" t="inlineStr">
        <is>
          <t>F11</t>
        </is>
      </c>
      <c r="B12" s="94" t="inlineStr">
        <is>
          <t>Gluten-Free、Non-GMO、American Owned QC、Formulated in the US with imported ingredients</t>
        </is>
      </c>
      <c r="C12" s="96" t="inlineStr">
        <is>
          <t>用户2026-09-28确认有依据</t>
        </is>
      </c>
      <c r="D12" s="96" t="inlineStr">
        <is>
          <t>请保存证明文件备查</t>
        </is>
      </c>
    </row>
    <row r="13" ht="15" customHeight="1" s="50">
      <c r="A13" s="94" t="inlineStr">
        <is>
          <t>F13</t>
        </is>
      </c>
      <c r="B13" s="96" t="inlineStr">
        <is>
          <t>品牌名ZAB</t>
        </is>
      </c>
      <c r="C13" s="94" t="inlineStr">
        <is>
          <t>Listing品牌字段</t>
        </is>
      </c>
      <c r="D13" s="94" t="n"/>
    </row>
    <row r="14" ht="15" customHeight="1" s="50">
      <c r="A14" s="94" t="inlineStr">
        <is>
          <t>F14</t>
        </is>
      </c>
      <c r="B14" s="96" t="inlineStr">
        <is>
          <t>为多样的生活方式和日常健康设计</t>
        </is>
      </c>
      <c r="C14" s="94" t="inlineStr">
        <is>
          <t>Listing要点5</t>
        </is>
      </c>
      <c r="D14" s="94" t="n"/>
    </row>
    <row r="15" ht="15" customHeight="1" s="50">
      <c r="A15" s="94" t="inlineStr">
        <is>
          <t>F15</t>
        </is>
      </c>
      <c r="B15" s="96" t="inlineStr">
        <is>
          <t>第三方检测（有检测报告）</t>
        </is>
      </c>
      <c r="C15" s="96" t="inlineStr">
        <is>
          <t>用户2026-09-29确认</t>
        </is>
      </c>
      <c r="D15" s="96" t="inlineStr">
        <is>
          <t>写Third-Party Tested，不写Certified；报告备查</t>
        </is>
      </c>
    </row>
    <row r="16" ht="15" customHeight="1" s="50">
      <c r="A16" s="94" t="inlineStr">
        <is>
          <t>F16</t>
        </is>
      </c>
      <c r="B16" s="96" t="inlineStr">
        <is>
          <t>支持细胞健康 / 细胞功能（Cellular Health / Cell Function）</t>
        </is>
      </c>
      <c r="C16" s="96" t="inlineStr">
        <is>
          <t>瓶身标签印字；用户2026-09-29确认</t>
        </is>
      </c>
      <c r="D16" s="96" t="inlineStr">
        <is>
          <t>结构/功能宣称，加*并配FDA免责声明</t>
        </is>
      </c>
    </row>
    <row r="17" ht="29.85" customHeight="1" s="50">
      <c r="A17" s="96" t="inlineStr">
        <is>
          <t>注</t>
        </is>
      </c>
      <c r="B17" s="96" t="inlineStr">
        <is>
          <t>英文listing原文是从中文本地化页面回译的，上线前请用英文后台核对措辞。F12（肠道转化科普）本次副图未使用。</t>
        </is>
      </c>
      <c r="C17" s="94" t="n"/>
      <c r="D17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2026-09-28T22:00:16Z</dcterms:created>
  <dcterms:modified xsi:type="dcterms:W3CDTF">2026-10-02T05:21:52Z</dcterms:modified>
  <cp:revision>0</cp:revision>
</cp:coreProperties>
</file>